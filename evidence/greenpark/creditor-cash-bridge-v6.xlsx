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1df8d67efc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ditor Summary" sheetId="1" r:id="R13b9a3088b2347cc"/>
    <x:sheet xmlns:r="http://schemas.openxmlformats.org/officeDocument/2006/relationships" name="Monthly Cash Bridge" sheetId="2" r:id="Rf3f3283554e6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;[Red](#,##0.0);–"/>
  </x:numFmts>
  <x:fonts count="2">
    <x:font>
      <x:sz val="11"/>
      <x:name val="Carlito"/>
    </x:font>
    <x:font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B"/>
      </x:patternFill>
    </x:fill>
    <x:fill>
      <x:patternFill patternType="solid">
        <x:fgColor rgb="FF2A664E"/>
      </x:patternFill>
    </x:fill>
    <x:fill>
      <x:patternFill patternType="solid">
        <x:fgColor rgb="FFDDE9E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0f7f0ecd14da5" /><Relationship Type="http://schemas.openxmlformats.org/officeDocument/2006/relationships/theme" Target="/xl/theme/theme1.xml" Id="Rb8c1f0cc141e41ca" /><Relationship Type="http://schemas.openxmlformats.org/officeDocument/2006/relationships/sharedStrings" Target="/xl/sharedStrings.xml" Id="R3718a2c6443d4b82" /><Relationship Type="http://schemas.openxmlformats.org/officeDocument/2006/relationships/worksheet" Target="/xl/worksheets/sheet1.xml" Id="R13b9a3088b2347cc" /><Relationship Type="http://schemas.openxmlformats.org/officeDocument/2006/relationships/worksheet" Target="/xl/worksheets/sheet2.xml" Id="Rf3f3283554e640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6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2" t="str">
        <x:v>RESIDENTIAL DEVELOPMENT | Creditor cash flow and repayment view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t="str">
        <x:v>Source: Private integrated financial model V6; ₦ million. Frozen V6 snapshot, not a live link to the main file.</x:v>
      </x:c>
    </x:row>
    <x:row r="5" ht="43" customHeight="1">
      <x:c r="A5" s="5" t="str">
        <x:v>Period</x:v>
      </x:c>
      <x:c r="B5" s="5" t="str">
        <x:v>Customer receipts</x:v>
      </x:c>
      <x:c r="C5" s="5" t="str">
        <x:v>Equity</x:v>
      </x:c>
      <x:c r="D5" s="5" t="str">
        <x:v>Senior draw</x:v>
      </x:c>
      <x:c r="E5" s="5" t="str">
        <x:v>Project cost + tax</x:v>
      </x:c>
      <x:c r="F5" s="5" t="str">
        <x:v>Supplier draws</x:v>
      </x:c>
      <x:c r="G5" s="5" t="str">
        <x:v>Supplier repayments</x:v>
      </x:c>
      <x:c r="H5" s="5" t="str">
        <x:v>Senior principal paid</x:v>
      </x:c>
      <x:c r="I5" s="5" t="str">
        <x:v>Year-end cash</x:v>
      </x:c>
      <x:c r="J5" s="5" t="str">
        <x:v>Senior balance</x:v>
      </x:c>
      <x:c r="K5" s="5" t="str">
        <x:v>Interest accrued¹</x:v>
      </x:c>
      <x:c r="L5" s="5" t="str">
        <x:v>Supplier balance</x:v>
      </x:c>
      <x:c r="M5" s="5" t="str">
        <x:v>Reconciliation</x:v>
      </x:c>
    </x:row>
    <x:row r="6">
      <x:c r="A6" t="n">
        <x:v>2026</x:v>
      </x:c>
      <x:c r="B6" s="6" t="n">
        <x:f>SUM('Monthly Cash Bridge'!C7:C10)</x:f>
        <x:v>152.1234</x:v>
      </x:c>
      <x:c r="C6" s="6" t="n">
        <x:f>SUM('Monthly Cash Bridge'!D7:D10)</x:f>
        <x:v>220</x:v>
      </x:c>
      <x:c r="D6" s="6" t="n">
        <x:f>SUM('Monthly Cash Bridge'!E7:E10)</x:f>
        <x:v>1000</x:v>
      </x:c>
      <x:c r="E6" s="6" t="n">
        <x:f>SUM('Monthly Cash Bridge'!J7:J10)</x:f>
        <x:v>1110.8974792845174</x:v>
      </x:c>
      <x:c r="F6" s="6" t="n">
        <x:f>SUM('Monthly Cash Bridge'!F7:H10)</x:f>
        <x:v>0</x:v>
      </x:c>
      <x:c r="G6" s="6" t="n">
        <x:f>SUM('Monthly Cash Bridge'!K7:M10)</x:f>
        <x:v>0</x:v>
      </x:c>
      <x:c r="H6" s="6" t="n">
        <x:f>SUM('Monthly Cash Bridge'!O7:O10)</x:f>
        <x:v>0</x:v>
      </x:c>
      <x:c r="I6" s="6" t="n">
        <x:f>'Monthly Cash Bridge'!P10</x:f>
        <x:v>261.2259207154825</x:v>
      </x:c>
      <x:c r="J6" s="6" t="n">
        <x:f>'Monthly Cash Bridge'!S10</x:f>
        <x:v>1000</x:v>
      </x:c>
      <x:c r="K6" s="6" t="n">
        <x:f>SUM('Monthly Cash Bridge'!T7:T10)</x:f>
        <x:v>0</x:v>
      </x:c>
      <x:c r="L6" s="6" t="n">
        <x:f>'Monthly Cash Bridge'!U10</x:f>
        <x:v>0</x:v>
      </x:c>
      <x:c r="M6" t="str">
        <x:f>IF(SUMSQ('Monthly Cash Bridge'!R7:R10)&lt;0.0001,"OK","CHECK")</x:f>
        <x:v>OK</x:v>
      </x:c>
    </x:row>
    <x:row r="7">
      <x:c r="A7" t="n">
        <x:v>2027</x:v>
      </x:c>
      <x:c r="B7" s="6" t="n">
        <x:f>SUM('Monthly Cash Bridge'!C11:C22)</x:f>
        <x:v>3834.3488999999995</x:v>
      </x:c>
      <x:c r="C7" s="6" t="n">
        <x:f>SUM('Monthly Cash Bridge'!D11:D22)</x:f>
        <x:v>330</x:v>
      </x:c>
      <x:c r="D7" s="6" t="n">
        <x:f>SUM('Monthly Cash Bridge'!E11:E22)</x:f>
        <x:v>400</x:v>
      </x:c>
      <x:c r="E7" s="6" t="n">
        <x:f>SUM('Monthly Cash Bridge'!J11:J22)</x:f>
        <x:v>4368.787412130965</x:v>
      </x:c>
      <x:c r="F7" s="6" t="n">
        <x:f>SUM('Monthly Cash Bridge'!F11:H22)</x:f>
        <x:v>930.5611937825862</x:v>
      </x:c>
      <x:c r="G7" s="6" t="n">
        <x:f>SUM('Monthly Cash Bridge'!K11:M22)</x:f>
        <x:v>377.34860236710347</x:v>
      </x:c>
      <x:c r="H7" s="6" t="n">
        <x:f>SUM('Monthly Cash Bridge'!O11:O22)</x:f>
        <x:v>1000</x:v>
      </x:c>
      <x:c r="I7" s="6" t="n">
        <x:f>'Monthly Cash Bridge'!P22</x:f>
        <x:v>10</x:v>
      </x:c>
      <x:c r="J7" s="6" t="n">
        <x:f>'Monthly Cash Bridge'!S22</x:f>
        <x:v>653</x:v>
      </x:c>
      <x:c r="K7" s="6" t="n">
        <x:f>SUM('Monthly Cash Bridge'!T11:T22)</x:f>
        <x:v>253</x:v>
      </x:c>
      <x:c r="L7" s="6" t="n">
        <x:f>'Monthly Cash Bridge'!U22</x:f>
        <x:v>553.2125914154827</x:v>
      </x:c>
      <x:c r="M7" t="str">
        <x:f>IF(SUMSQ('Monthly Cash Bridge'!R11:R22)&lt;0.0001,"OK","CHECK")</x:f>
        <x:v>OK</x:v>
      </x:c>
    </x:row>
    <x:row r="8">
      <x:c r="A8" t="n">
        <x:v>2028</x:v>
      </x:c>
      <x:c r="B8" s="6" t="n">
        <x:f>SUM('Monthly Cash Bridge'!C23:C34)</x:f>
        <x:v>2973.5377</x:v>
      </x:c>
      <x:c r="C8" s="6" t="n">
        <x:f>SUM('Monthly Cash Bridge'!D23:D34)</x:f>
        <x:v>0</x:v>
      </x:c>
      <x:c r="D8" s="6" t="n">
        <x:f>SUM('Monthly Cash Bridge'!E23:E34)</x:f>
        <x:v>0</x:v>
      </x:c>
      <x:c r="E8" s="6" t="n">
        <x:f>SUM('Monthly Cash Bridge'!J23:J34)</x:f>
        <x:v>378.1992935845174</x:v>
      </x:c>
      <x:c r="F8" s="6" t="n">
        <x:f>SUM('Monthly Cash Bridge'!F23:H34)</x:f>
        <x:v>451.8542825723644</x:v>
      </x:c>
      <x:c r="G8" s="6" t="n">
        <x:f>SUM('Monthly Cash Bridge'!K23:M34)</x:f>
        <x:v>1005.0668739878472</x:v>
      </x:c>
      <x:c r="H8" s="6" t="n">
        <x:f>SUM('Monthly Cash Bridge'!O23:O34)</x:f>
        <x:v>400</x:v>
      </x:c>
      <x:c r="I8" s="6" t="n">
        <x:f>'Monthly Cash Bridge'!P34</x:f>
        <x:v>1652.1258149999999</x:v>
      </x:c>
      <x:c r="J8" s="6" t="n">
        <x:f>'Monthly Cash Bridge'!S34</x:f>
        <x:v>363.65999999999997</x:v>
      </x:c>
      <x:c r="K8" s="6" t="n">
        <x:f>SUM('Monthly Cash Bridge'!T23:T34)</x:f>
        <x:v>110.66</x:v>
      </x:c>
      <x:c r="L8" s="6" t="n">
        <x:f>'Monthly Cash Bridge'!U34</x:f>
        <x:v>-7.105427357601002e-14</x:v>
      </x:c>
      <x:c r="M8" t="str">
        <x:f>IF(SUMSQ('Monthly Cash Bridge'!R23:R34)&lt;0.0001,"OK","CHECK")</x:f>
        <x:v>OK</x:v>
      </x:c>
    </x:row>
    <x:row r="9">
      <x:c r="A9" t="n">
        <x:v>2029</x:v>
      </x:c>
      <x:c r="B9" s="6" t="n">
        <x:f>SUM('Monthly Cash Bridge'!C35:C44)</x:f>
        <x:v>0</x:v>
      </x:c>
      <x:c r="C9" s="6" t="n">
        <x:f>SUM('Monthly Cash Bridge'!D35:D44)</x:f>
        <x:v>0</x:v>
      </x:c>
      <x:c r="D9" s="6" t="n">
        <x:f>SUM('Monthly Cash Bridge'!E35:E44)</x:f>
        <x:v>0</x:v>
      </x:c>
      <x:c r="E9" s="6" t="n">
        <x:f>SUM('Monthly Cash Bridge'!J35:J44)</x:f>
        <x:v>268.5344883749997</x:v>
      </x:c>
      <x:c r="F9" s="6" t="n">
        <x:f>SUM('Monthly Cash Bridge'!F35:H44)</x:f>
        <x:v>0</x:v>
      </x:c>
      <x:c r="G9" s="6" t="n">
        <x:f>SUM('Monthly Cash Bridge'!K35:M44)</x:f>
        <x:v>0</x:v>
      </x:c>
      <x:c r="H9" s="6" t="n">
        <x:f>SUM('Monthly Cash Bridge'!O35:O44)</x:f>
        <x:v>0</x:v>
      </x:c>
      <x:c r="I9" s="6" t="n">
        <x:f>'Monthly Cash Bridge'!P44</x:f>
        <x:v>1383.5913266250002</x:v>
      </x:c>
      <x:c r="J9" s="6" t="n">
        <x:f>'Monthly Cash Bridge'!S44</x:f>
        <x:v>443.66519999999997</x:v>
      </x:c>
      <x:c r="K9" s="6" t="n">
        <x:f>SUM('Monthly Cash Bridge'!T35:T44)</x:f>
        <x:v>80.00519999999999</x:v>
      </x:c>
      <x:c r="L9" s="6" t="n">
        <x:f>'Monthly Cash Bridge'!U44</x:f>
        <x:v>-7.105427357601002e-14</x:v>
      </x:c>
      <x:c r="M9" t="str">
        <x:f>IF(SUMSQ('Monthly Cash Bridge'!R35:R44)&lt;0.0001,"OK","CHECK")</x:f>
        <x:v>OK</x:v>
      </x:c>
    </x:row>
    <x:row r="10"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</x:row>
    <x:row r="11">
      <x:c r="A11" s="8" t="str">
        <x:v>Credit repayment reading</x:v>
      </x:c>
      <x:c r="B11" s="9"/>
      <x:c r="C11" s="9"/>
      <x:c r="D11" s="6"/>
      <x:c r="E11" s="6"/>
      <x:c r="F11" s="6"/>
      <x:c r="G11" s="6"/>
      <x:c r="H11" s="6"/>
      <x:c r="I11" s="6"/>
      <x:c r="J11" s="6"/>
      <x:c r="K11" s="6"/>
      <x:c r="L11" s="6"/>
    </x:row>
    <x:row r="12">
      <x:c r="A12" t="str">
        <x:v>Senior principal drawn and repaid (₦m)</x:v>
      </x:c>
      <x:c r="B12" s="6" t="n">
        <x:f>SUM(D6:D9)</x:f>
        <x:v>1400</x:v>
      </x:c>
      <x:c r="C12" s="6" t="n">
        <x:f>SUM(H6:H9)</x:f>
        <x:v>1400</x:v>
      </x:c>
      <x:c r="D12" s="6"/>
      <x:c r="E12" s="6"/>
      <x:c r="F12" s="6"/>
      <x:c r="G12" s="6"/>
      <x:c r="H12" s="6"/>
      <x:c r="I12" s="6"/>
      <x:c r="J12" s="6"/>
      <x:c r="K12" s="6"/>
      <x:c r="L12" s="6"/>
    </x:row>
    <x:row r="13">
      <x:c r="A13" t="str">
        <x:v>Closing capitalised interest outstanding (₦m)</x:v>
      </x:c>
      <x:c r="B13" s="6" t="n">
        <x:f>J9</x:f>
        <x:v>443.66519999999997</x:v>
      </x:c>
      <x:c r="C13" s="6"/>
      <x:c r="D13" s="6"/>
      <x:c r="E13" s="6"/>
      <x:c r="F13" s="6"/>
      <x:c r="G13" s="6"/>
      <x:c r="H13" s="6"/>
      <x:c r="I13" s="6"/>
      <x:c r="J13" s="6"/>
      <x:c r="K13" s="6"/>
      <x:c r="L13" s="6"/>
    </x:row>
    <x:row r="14">
      <x:c r="A14" t="str">
        <x:v>Closing project cash after tax (₦m)</x:v>
      </x:c>
      <x:c r="B14" s="6" t="n">
        <x:f>I9</x:f>
        <x:v>1383.5913266250002</x:v>
      </x:c>
      <x:c r="C14" s="6"/>
      <x:c r="D14" s="6"/>
      <x:c r="E14" s="6"/>
      <x:c r="F14" s="6"/>
      <x:c r="G14" s="6"/>
      <x:c r="H14" s="6"/>
      <x:c r="I14" s="6"/>
      <x:c r="J14" s="6"/>
      <x:c r="K14" s="6"/>
      <x:c r="L14" s="6"/>
    </x:row>
    <x:row r="15">
      <x:c r="A15" t="str">
        <x:v>Illustrative cash after settling accrued interest² (₦m)</x:v>
      </x:c>
      <x:c r="B15" s="6" t="n">
        <x:f>B14-B13</x:f>
        <x:v>939.9261266250003</x:v>
      </x:c>
      <x:c r="C15" s="6"/>
      <x:c r="D15" s="6"/>
      <x:c r="E15" s="6"/>
      <x:c r="F15" s="6"/>
      <x:c r="G15" s="6"/>
      <x:c r="H15" s="6"/>
      <x:c r="I15" s="6"/>
      <x:c r="J15" s="6"/>
      <x:c r="K15" s="6"/>
      <x:c r="L15" s="6"/>
    </x:row>
    <x:row r="17" ht="32" customHeight="1">
      <x:c r="A17" s="7" t="str">
        <x:v>¹ Model capitalises senior interest annually; no interest cash payment is scheduled. The ₦443.7m closing debt balance therefore remains to be contractually settled.</x:v>
      </x:c>
    </x:row>
    <x:row r="18" ht="32" customHeight="1">
      <x:c r="A18" s="7" t="str">
        <x:v>² Illustrative capacity only: assumes closing cash is freely available, interest is then payable and no other obligations or distributions intervene. Not a contracted repayment schedule.</x:v>
      </x:c>
    </x:row>
    <x:row r="19" ht="32" customHeight="1">
      <x:c r="A19" s="7" t="str">
        <x:v>Customer collections and handovers finish together in September 2028; October 2029 tax is included in the cash bridge. Source V6 timing and settlement assumptions remain controlling.</x:v>
      </x:c>
    </x:row>
    <x:row r="20" ht="32" customHeight="1">
      <x:c r="A20" s="7" t="str">
        <x:v>Supplier drawings/repayments are temporary interest-free timing bridges, not permanent project funding. Monthly row variances reconcile to V6 Funding Schedule and Cash Flow.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>
      <x:c r="A1" s="2" t="str">
        <x:v>RESIDENTIAL DEVELOPMENT | Monthly creditor cash bridge | ₦ million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t="str">
        <x:v>Source values copied from integrated Model V6. Editable reconciliation formulas are in columns I, N, P, R and W.</x:v>
      </x:c>
    </x:row>
    <x:row r="5" ht="46" customHeight="1">
      <x:c r="A5" s="5" t="str">
        <x:v>Month</x:v>
      </x:c>
      <x:c r="B5" s="5" t="str">
        <x:v>Opening cash</x:v>
      </x:c>
      <x:c r="C5" s="5" t="str">
        <x:v>Buyer receipts</x:v>
      </x:c>
      <x:c r="D5" s="5" t="str">
        <x:v>Sponsor equity</x:v>
      </x:c>
      <x:c r="E5" s="5" t="str">
        <x:v>Senior draw</x:v>
      </x:c>
      <x:c r="F5" s="5" t="str">
        <x:v>Vendor draw</x:v>
      </x:c>
      <x:c r="G5" s="5" t="str">
        <x:v>Contractor credit draw</x:v>
      </x:c>
      <x:c r="H5" s="5" t="str">
        <x:v>Backstop draw</x:v>
      </x:c>
      <x:c r="I5" s="5" t="str">
        <x:v>Cash sources + opening</x:v>
      </x:c>
      <x:c r="J5" s="5" t="str">
        <x:v>Project spend + tax</x:v>
      </x:c>
      <x:c r="K5" s="5" t="str">
        <x:v>Vendor repayment</x:v>
      </x:c>
      <x:c r="L5" s="5" t="str">
        <x:v>Contractor repayment</x:v>
      </x:c>
      <x:c r="M5" s="5" t="str">
        <x:v>Backstop repayment</x:v>
      </x:c>
      <x:c r="N5" s="5" t="str">
        <x:v>Cash before senior principal</x:v>
      </x:c>
      <x:c r="O5" s="5" t="str">
        <x:v>Senior principal paid</x:v>
      </x:c>
      <x:c r="P5" s="5" t="str">
        <x:v>Closing cash</x:v>
      </x:c>
      <x:c r="Q5" s="5" t="str">
        <x:v>V6 Funding cash</x:v>
      </x:c>
      <x:c r="R5" s="5" t="str">
        <x:v>Difference</x:v>
      </x:c>
      <x:c r="S5" s="5" t="str">
        <x:v>Senior closing debt</x:v>
      </x:c>
      <x:c r="T5" s="5" t="str">
        <x:v>Interest capitalised</x:v>
      </x:c>
      <x:c r="U5" s="5" t="str">
        <x:v>Supplier support closing</x:v>
      </x:c>
      <x:c r="V5" s="5" t="str">
        <x:v>V6 Cash Flow cash</x:v>
      </x:c>
      <x:c r="W5" s="5" t="str">
        <x:v>Difference</x:v>
      </x:c>
    </x:row>
    <x:row r="7">
      <x:c r="A7" t="str">
        <x:v>Sep 2026</x:v>
      </x:c>
      <x:c r="B7" s="6" t="n">
        <x:v>0</x:v>
      </x:c>
      <x:c r="C7" s="6" t="n">
        <x:v>0</x:v>
      </x:c>
      <x:c r="D7" s="6" t="n">
        <x:v>55</x:v>
      </x:c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f>SUM(B7:H7)</x:f>
        <x:v>55</x:v>
      </x:c>
      <x:c r="J7" s="6" t="n">
        <x:v>5.7</x:v>
      </x:c>
      <x:c r="K7" s="6" t="n">
        <x:v>0</x:v>
      </x:c>
      <x:c r="L7" s="6" t="n">
        <x:v>0</x:v>
      </x:c>
      <x:c r="M7" s="6" t="n">
        <x:v>0</x:v>
      </x:c>
      <x:c r="N7" s="6" t="n">
        <x:f>I7-SUM(J7:M7)</x:f>
        <x:v>49.3</x:v>
      </x:c>
      <x:c r="O7" s="6" t="n">
        <x:v>0</x:v>
      </x:c>
      <x:c r="P7" s="6" t="n">
        <x:f>N7-O7</x:f>
        <x:v>49.3</x:v>
      </x:c>
      <x:c r="Q7" s="6" t="n">
        <x:v>49.3</x:v>
      </x:c>
      <x:c r="R7" s="6" t="n">
        <x:f>P7-Q7</x:f>
        <x:v>0</x:v>
      </x:c>
      <x:c r="S7" s="6" t="n">
        <x:v>0</x:v>
      </x:c>
      <x:c r="T7" s="6" t="n">
        <x:v>0</x:v>
      </x:c>
      <x:c r="U7" s="6" t="n">
        <x:v>0</x:v>
      </x:c>
      <x:c r="V7" s="6" t="n">
        <x:v>49.3</x:v>
      </x:c>
      <x:c r="W7" s="6" t="n">
        <x:f>P7-V7</x:f>
        <x:v>0</x:v>
      </x:c>
    </x:row>
    <x:row r="8">
      <x:c r="A8" t="str">
        <x:v>Oct 2026</x:v>
      </x:c>
      <x:c r="B8" s="6" t="n">
        <x:v>49.3</x:v>
      </x:c>
      <x:c r="C8" s="6" t="n">
        <x:v>0</x:v>
      </x:c>
      <x:c r="D8" s="6" t="n">
        <x:v>55</x:v>
      </x:c>
      <x:c r="E8" s="6" t="n">
        <x:v>1000</x:v>
      </x:c>
      <x:c r="F8" s="6" t="n">
        <x:v>0</x:v>
      </x:c>
      <x:c r="G8" s="6" t="n">
        <x:v>0</x:v>
      </x:c>
      <x:c r="H8" s="6" t="n">
        <x:v>0</x:v>
      </x:c>
      <x:c r="I8" s="6" t="n">
        <x:f>SUM(B8:H8)</x:f>
        <x:v>1104.3</x:v>
      </x:c>
      <x:c r="J8" s="6" t="n">
        <x:v>830.7</x:v>
      </x:c>
      <x:c r="K8" s="6" t="n">
        <x:v>0</x:v>
      </x:c>
      <x:c r="L8" s="6" t="n">
        <x:v>0</x:v>
      </x:c>
      <x:c r="M8" s="6" t="n">
        <x:v>0</x:v>
      </x:c>
      <x:c r="N8" s="6" t="n">
        <x:f>I8-SUM(J8:M8)</x:f>
        <x:v>273.5999999999999</x:v>
      </x:c>
      <x:c r="O8" s="6" t="n">
        <x:v>0</x:v>
      </x:c>
      <x:c r="P8" s="6" t="n">
        <x:f>N8-O8</x:f>
        <x:v>273.5999999999999</x:v>
      </x:c>
      <x:c r="Q8" s="6" t="n">
        <x:v>273.5999999999999</x:v>
      </x:c>
      <x:c r="R8" s="6" t="n">
        <x:f>P8-Q8</x:f>
        <x:v>0</x:v>
      </x:c>
      <x:c r="S8" s="6" t="n">
        <x:v>1000</x:v>
      </x:c>
      <x:c r="T8" s="6" t="n">
        <x:v>0</x:v>
      </x:c>
      <x:c r="U8" s="6" t="n">
        <x:v>0</x:v>
      </x:c>
      <x:c r="V8" s="6" t="n">
        <x:v>273.59999999999997</x:v>
      </x:c>
      <x:c r="W8" s="6" t="n">
        <x:f>P8-V8</x:f>
        <x:v>-5.684341886080802e-14</x:v>
      </x:c>
    </x:row>
    <x:row r="9">
      <x:c r="A9" t="str">
        <x:v>Nov 2026</x:v>
      </x:c>
      <x:c r="B9" s="6" t="n">
        <x:v>273.5999999999999</x:v>
      </x:c>
      <x:c r="C9" s="6" t="n">
        <x:v>55.3176</x:v>
      </x:c>
      <x:c r="D9" s="6" t="n">
        <x:v>55</x:v>
      </x:c>
      <x:c r="E9" s="6" t="n">
        <x:v>0</x:v>
      </x:c>
      <x:c r="F9" s="6" t="n">
        <x:v>0</x:v>
      </x:c>
      <x:c r="G9" s="6" t="n">
        <x:v>0</x:v>
      </x:c>
      <x:c r="H9" s="6" t="n">
        <x:v>0</x:v>
      </x:c>
      <x:c r="I9" s="6" t="n">
        <x:f>SUM(B9:H9)</x:f>
        <x:v>383.9175999999999</x:v>
      </x:c>
      <x:c r="J9" s="6" t="n">
        <x:v>11.787795542258705</x:v>
      </x:c>
      <x:c r="K9" s="6" t="n">
        <x:v>0</x:v>
      </x:c>
      <x:c r="L9" s="6" t="n">
        <x:v>0</x:v>
      </x:c>
      <x:c r="M9" s="6" t="n">
        <x:v>0</x:v>
      </x:c>
      <x:c r="N9" s="6" t="n">
        <x:f>I9-SUM(J9:M9)</x:f>
        <x:v>372.12980445774116</x:v>
      </x:c>
      <x:c r="O9" s="6" t="n">
        <x:v>0</x:v>
      </x:c>
      <x:c r="P9" s="6" t="n">
        <x:f>N9-O9</x:f>
        <x:v>372.12980445774116</x:v>
      </x:c>
      <x:c r="Q9" s="6" t="n">
        <x:v>372.12980445774116</x:v>
      </x:c>
      <x:c r="R9" s="6" t="n">
        <x:f>P9-Q9</x:f>
        <x:v>0</x:v>
      </x:c>
      <x:c r="S9" s="6" t="n">
        <x:v>1000</x:v>
      </x:c>
      <x:c r="T9" s="6" t="n">
        <x:v>0</x:v>
      </x:c>
      <x:c r="U9" s="6" t="n">
        <x:v>0</x:v>
      </x:c>
      <x:c r="V9" s="6" t="n">
        <x:v>372.1298044577413</x:v>
      </x:c>
      <x:c r="W9" s="6" t="n">
        <x:f>P9-V9</x:f>
        <x:v>-1.1368683772161603e-13</x:v>
      </x:c>
    </x:row>
    <x:row r="10">
      <x:c r="A10" t="str">
        <x:v>Dec 2026</x:v>
      </x:c>
      <x:c r="B10" s="6" t="n">
        <x:v>372.12980445774116</x:v>
      </x:c>
      <x:c r="C10" s="6" t="n">
        <x:v>96.8058</x:v>
      </x:c>
      <x:c r="D10" s="6" t="n">
        <x:v>55</x:v>
      </x:c>
      <x:c r="E10" s="6" t="n">
        <x:v>0</x:v>
      </x:c>
      <x:c r="F10" s="6" t="n">
        <x:v>0</x:v>
      </x:c>
      <x:c r="G10" s="6" t="n">
        <x:v>0</x:v>
      </x:c>
      <x:c r="H10" s="6" t="n">
        <x:v>0</x:v>
      </x:c>
      <x:c r="I10" s="6" t="n">
        <x:f>SUM(B10:H10)</x:f>
        <x:v>523.9356044577412</x:v>
      </x:c>
      <x:c r="J10" s="6" t="n">
        <x:v>262.7096837422587</x:v>
      </x:c>
      <x:c r="K10" s="6" t="n">
        <x:v>0</x:v>
      </x:c>
      <x:c r="L10" s="6" t="n">
        <x:v>0</x:v>
      </x:c>
      <x:c r="M10" s="6" t="n">
        <x:v>0</x:v>
      </x:c>
      <x:c r="N10" s="6" t="n">
        <x:f>I10-SUM(J10:M10)</x:f>
        <x:v>261.2259207154825</x:v>
      </x:c>
      <x:c r="O10" s="6" t="n">
        <x:v>0</x:v>
      </x:c>
      <x:c r="P10" s="6" t="n">
        <x:f>N10-O10</x:f>
        <x:v>261.2259207154825</x:v>
      </x:c>
      <x:c r="Q10" s="6" t="n">
        <x:v>261.2259207154825</x:v>
      </x:c>
      <x:c r="R10" s="6" t="n">
        <x:f>P10-Q10</x:f>
        <x:v>0</x:v>
      </x:c>
      <x:c r="S10" s="6" t="n">
        <x:v>1000</x:v>
      </x:c>
      <x:c r="T10" s="6" t="n">
        <x:v>0</x:v>
      </x:c>
      <x:c r="U10" s="6" t="n">
        <x:v>0</x:v>
      </x:c>
      <x:c r="V10" s="6" t="n">
        <x:v>261.2259207154825</x:v>
      </x:c>
      <x:c r="W10" s="6" t="n">
        <x:f>P10-V10</x:f>
        <x:v>0</x:v>
      </x:c>
    </x:row>
    <x:row r="11">
      <x:c r="A11" t="str">
        <x:v>Jan 2027</x:v>
      </x:c>
      <x:c r="B11" s="6" t="n">
        <x:v>261.2259207154825</x:v>
      </x:c>
      <x:c r="C11" s="6" t="n">
        <x:v>125.3708</x:v>
      </x:c>
      <x:c r="D11" s="6" t="n">
        <x:v>55</x:v>
      </x:c>
      <x:c r="E11" s="6" t="n">
        <x:v>200</x:v>
      </x:c>
      <x:c r="F11" s="6" t="n">
        <x:v>0</x:v>
      </x:c>
      <x:c r="G11" s="6" t="n">
        <x:v>0</x:v>
      </x:c>
      <x:c r="H11" s="6" t="n">
        <x:v>0</x:v>
      </x:c>
      <x:c r="I11" s="6" t="n">
        <x:f>SUM(B11:H11)</x:f>
        <x:v>641.5967207154825</x:v>
      </x:c>
      <x:c r="J11" s="6" t="n">
        <x:v>100.0631103577413</x:v>
      </x:c>
      <x:c r="K11" s="6" t="n">
        <x:v>0</x:v>
      </x:c>
      <x:c r="L11" s="6" t="n">
        <x:v>0</x:v>
      </x:c>
      <x:c r="M11" s="6" t="n">
        <x:v>0</x:v>
      </x:c>
      <x:c r="N11" s="6" t="n">
        <x:f>I11-SUM(J11:M11)</x:f>
        <x:v>541.5336103577413</x:v>
      </x:c>
      <x:c r="O11" s="6" t="n">
        <x:v>0</x:v>
      </x:c>
      <x:c r="P11" s="6" t="n">
        <x:f>N11-O11</x:f>
        <x:v>541.5336103577413</x:v>
      </x:c>
      <x:c r="Q11" s="6" t="n">
        <x:v>541.5336103577413</x:v>
      </x:c>
      <x:c r="R11" s="6" t="n">
        <x:f>P11-Q11</x:f>
        <x:v>0</x:v>
      </x:c>
      <x:c r="S11" s="6" t="n">
        <x:v>1200</x:v>
      </x:c>
      <x:c r="T11" s="6" t="n">
        <x:v>0</x:v>
      </x:c>
      <x:c r="U11" s="6" t="n">
        <x:v>0</x:v>
      </x:c>
      <x:c r="V11" s="6" t="n">
        <x:v>541.5336103577413</x:v>
      </x:c>
      <x:c r="W11" s="6" t="n">
        <x:f>P11-V11</x:f>
        <x:v>0</x:v>
      </x:c>
    </x:row>
    <x:row r="12">
      <x:c r="A12" t="str">
        <x:v>Feb 2027</x:v>
      </x:c>
      <x:c r="B12" s="6" t="n">
        <x:v>541.5336103577413</x:v>
      </x:c>
      <x:c r="C12" s="6" t="n">
        <x:v>188.28275</x:v>
      </x:c>
      <x:c r="D12" s="6" t="n">
        <x:v>55</x:v>
      </x:c>
      <x:c r="E12" s="6" t="n">
        <x:v>0</x:v>
      </x:c>
      <x:c r="F12" s="6" t="n">
        <x:v>6.378012390000004</x:v>
      </x:c>
      <x:c r="G12" s="6" t="n">
        <x:v>25.512049560000015</x:v>
      </x:c>
      <x:c r="H12" s="6" t="n">
        <x:v>0</x:v>
      </x:c>
      <x:c r="I12" s="6" t="n">
        <x:f>SUM(B12:H12)</x:f>
        <x:v>816.7064223077413</x:v>
      </x:c>
      <x:c r="J12" s="6" t="n">
        <x:v>806.7064223077413</x:v>
      </x:c>
      <x:c r="K12" s="6" t="n">
        <x:v>0</x:v>
      </x:c>
      <x:c r="L12" s="6" t="n">
        <x:v>0</x:v>
      </x:c>
      <x:c r="M12" s="6" t="n">
        <x:v>0</x:v>
      </x:c>
      <x:c r="N12" s="6" t="n">
        <x:f>I12-SUM(J12:M12)</x:f>
        <x:v>10</x:v>
      </x:c>
      <x:c r="O12" s="6" t="n">
        <x:v>0</x:v>
      </x:c>
      <x:c r="P12" s="6" t="n">
        <x:f>N12-O12</x:f>
        <x:v>10</x:v>
      </x:c>
      <x:c r="Q12" s="6" t="n">
        <x:v>10.000000000000002</x:v>
      </x:c>
      <x:c r="R12" s="6" t="n">
        <x:f>P12-Q12</x:f>
        <x:v>-1.7763568394002505e-15</x:v>
      </x:c>
      <x:c r="S12" s="6" t="n">
        <x:v>1200</x:v>
      </x:c>
      <x:c r="T12" s="6" t="n">
        <x:v>0</x:v>
      </x:c>
      <x:c r="U12" s="6" t="n">
        <x:v>31.890061950000018</x:v>
      </x:c>
      <x:c r="V12" s="6" t="n">
        <x:v>10</x:v>
      </x:c>
      <x:c r="W12" s="6" t="n">
        <x:f>P12-V12</x:f>
        <x:v>0</x:v>
      </x:c>
    </x:row>
    <x:row r="13">
      <x:c r="A13" t="str">
        <x:v>Mar 2027</x:v>
      </x:c>
      <x:c r="B13" s="6" t="n">
        <x:v>10.000000000000002</x:v>
      </x:c>
      <x:c r="C13" s="6" t="n">
        <x:v>188.28275</x:v>
      </x:c>
      <x:c r="D13" s="6" t="n">
        <x:v>55</x:v>
      </x:c>
      <x:c r="E13" s="6" t="n">
        <x:v>200</x:v>
      </x:c>
      <x:c r="F13" s="6" t="n">
        <x:v>0</x:v>
      </x:c>
      <x:c r="G13" s="6" t="n">
        <x:v>0</x:v>
      </x:c>
      <x:c r="H13" s="6" t="n">
        <x:v>0</x:v>
      </x:c>
      <x:c r="I13" s="6" t="n">
        <x:f>SUM(B13:H13)</x:f>
        <x:v>453.28274999999996</x:v>
      </x:c>
      <x:c r="J13" s="6" t="n">
        <x:v>281.70642230774126</x:v>
      </x:c>
      <x:c r="K13" s="6" t="n">
        <x:v>6.378012390000004</x:v>
      </x:c>
      <x:c r="L13" s="6" t="n">
        <x:v>0</x:v>
      </x:c>
      <x:c r="M13" s="6" t="n">
        <x:v>0</x:v>
      </x:c>
      <x:c r="N13" s="6" t="n">
        <x:f>I13-SUM(J13:M13)</x:f>
        <x:v>165.19831530225872</x:v>
      </x:c>
      <x:c r="O13" s="6" t="n">
        <x:v>0</x:v>
      </x:c>
      <x:c r="P13" s="6" t="n">
        <x:f>N13-O13</x:f>
        <x:v>165.19831530225872</x:v>
      </x:c>
      <x:c r="Q13" s="6" t="n">
        <x:v>165.1983153022587</x:v>
      </x:c>
      <x:c r="R13" s="6" t="n">
        <x:f>P13-Q13</x:f>
        <x:v>2.842170943040401e-14</x:v>
      </x:c>
      <x:c r="S13" s="6" t="n">
        <x:v>1400</x:v>
      </x:c>
      <x:c r="T13" s="6" t="n">
        <x:v>0</x:v>
      </x:c>
      <x:c r="U13" s="6" t="n">
        <x:v>25.512049560000015</x:v>
      </x:c>
      <x:c r="V13" s="6" t="n">
        <x:v>165.1983153022587</x:v>
      </x:c>
      <x:c r="W13" s="6" t="n">
        <x:f>P13-V13</x:f>
        <x:v>2.842170943040401e-14</x:v>
      </x:c>
    </x:row>
    <x:row r="14">
      <x:c r="A14" t="str">
        <x:v>Apr 2027</x:v>
      </x:c>
      <x:c r="B14" s="6" t="n">
        <x:v>165.1983153022587</x:v>
      </x:c>
      <x:c r="C14" s="6" t="n">
        <x:v>209.7065</x:v>
      </x:c>
      <x:c r="D14" s="6" t="n">
        <x:v>55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f>SUM(B14:H14)</x:f>
        <x:v>429.9048153022587</x:v>
      </x:c>
      <x:c r="J14" s="6" t="n">
        <x:v>281.72784605774126</x:v>
      </x:c>
      <x:c r="K14" s="6" t="n">
        <x:v>0</x:v>
      </x:c>
      <x:c r="L14" s="6" t="n">
        <x:v>25.512049560000015</x:v>
      </x:c>
      <x:c r="M14" s="6" t="n">
        <x:v>0</x:v>
      </x:c>
      <x:c r="N14" s="6" t="n">
        <x:f>I14-SUM(J14:M14)</x:f>
        <x:v>122.66491968451743</x:v>
      </x:c>
      <x:c r="O14" s="6" t="n">
        <x:v>0</x:v>
      </x:c>
      <x:c r="P14" s="6" t="n">
        <x:f>N14-O14</x:f>
        <x:v>122.66491968451743</x:v>
      </x:c>
      <x:c r="Q14" s="6" t="n">
        <x:v>122.66491968451746</x:v>
      </x:c>
      <x:c r="R14" s="6" t="n">
        <x:f>P14-Q14</x:f>
        <x:v>-2.842170943040401e-14</x:v>
      </x:c>
      <x:c r="S14" s="6" t="n">
        <x:v>1400</x:v>
      </x:c>
      <x:c r="T14" s="6" t="n">
        <x:v>0</x:v>
      </x:c>
      <x:c r="U14" s="6" t="n">
        <x:v>0</x:v>
      </x:c>
      <x:c r="V14" s="6" t="n">
        <x:v>122.66491968451766</x:v>
      </x:c>
      <x:c r="W14" s="6" t="n">
        <x:f>P14-V14</x:f>
        <x:v>-2.2737367544323206e-13</x:v>
      </x:c>
    </x:row>
    <x:row r="15">
      <x:c r="A15" t="str">
        <x:v>May 2027</x:v>
      </x:c>
      <x:c r="B15" s="6" t="n">
        <x:v>122.66491968451746</x:v>
      </x:c>
      <x:c r="C15" s="6" t="n">
        <x:v>265.0241</x:v>
      </x:c>
      <x:c r="D15" s="6" t="n">
        <x:v>55</x:v>
      </x:c>
      <x:c r="E15" s="6" t="n">
        <x:v>0</x:v>
      </x:c>
      <x:c r="F15" s="6" t="n">
        <x:v>0</x:v>
      </x:c>
      <x:c r="G15" s="6" t="n">
        <x:v>0</x:v>
      </x:c>
      <x:c r="H15" s="6" t="n">
        <x:v>0</x:v>
      </x:c>
      <x:c r="I15" s="6" t="n">
        <x:f>SUM(B15:H15)</x:f>
        <x:v>442.68901968451746</x:v>
      </x:c>
      <x:c r="J15" s="6" t="n">
        <x:v>431.7831636577413</x:v>
      </x:c>
      <x:c r="K15" s="6" t="n">
        <x:v>0</x:v>
      </x:c>
      <x:c r="L15" s="6" t="n">
        <x:v>0</x:v>
      </x:c>
      <x:c r="M15" s="6" t="n">
        <x:v>0</x:v>
      </x:c>
      <x:c r="N15" s="6" t="n">
        <x:f>I15-SUM(J15:M15)</x:f>
        <x:v>10.905856026776178</x:v>
      </x:c>
      <x:c r="O15" s="6" t="n">
        <x:v>0</x:v>
      </x:c>
      <x:c r="P15" s="6" t="n">
        <x:f>N15-O15</x:f>
        <x:v>10.905856026776178</x:v>
      </x:c>
      <x:c r="Q15" s="6" t="n">
        <x:v>10.905856026776178</x:v>
      </x:c>
      <x:c r="R15" s="6" t="n">
        <x:f>P15-Q15</x:f>
        <x:v>0</x:v>
      </x:c>
      <x:c r="S15" s="6" t="n">
        <x:v>1400</x:v>
      </x:c>
      <x:c r="T15" s="6" t="n">
        <x:v>0</x:v>
      </x:c>
      <x:c r="U15" s="6" t="n">
        <x:v>0</x:v>
      </x:c>
      <x:c r="V15" s="6" t="n">
        <x:v>10.90585602677612</x:v>
      </x:c>
      <x:c r="W15" s="6" t="n">
        <x:f>P15-V15</x:f>
        <x:v>5.684341886080802e-14</x:v>
      </x:c>
    </x:row>
    <x:row r="16">
      <x:c r="A16" t="str">
        <x:v>Jun 2027</x:v>
      </x:c>
      <x:c r="B16" s="6" t="n">
        <x:v>10.905856026776178</x:v>
      </x:c>
      <x:c r="C16" s="6" t="n">
        <x:v>293.5891</x:v>
      </x:c>
      <x:c r="D16" s="6" t="n">
        <x:v>55</x:v>
      </x:c>
      <x:c r="E16" s="6" t="n">
        <x:v>0</x:v>
      </x:c>
      <x:c r="F16" s="6" t="n">
        <x:v>2.08636684928955</x:v>
      </x:c>
      <x:c r="G16" s="6" t="n">
        <x:v>8.345467397158199</x:v>
      </x:c>
      <x:c r="H16" s="6" t="n">
        <x:v>0</x:v>
      </x:c>
      <x:c r="I16" s="6" t="n">
        <x:f>SUM(B16:H16)</x:f>
        <x:v>369.9267902732239</x:v>
      </x:c>
      <x:c r="J16" s="6" t="n">
        <x:v>359.9267902732239</x:v>
      </x:c>
      <x:c r="K16" s="6" t="n">
        <x:v>0</x:v>
      </x:c>
      <x:c r="L16" s="6" t="n">
        <x:v>0</x:v>
      </x:c>
      <x:c r="M16" s="6" t="n">
        <x:v>0</x:v>
      </x:c>
      <x:c r="N16" s="6" t="n">
        <x:f>I16-SUM(J16:M16)</x:f>
        <x:v>10</x:v>
      </x:c>
      <x:c r="O16" s="6" t="n">
        <x:v>0</x:v>
      </x:c>
      <x:c r="P16" s="6" t="n">
        <x:f>N16-O16</x:f>
        <x:v>10</x:v>
      </x:c>
      <x:c r="Q16" s="6" t="n">
        <x:v>10</x:v>
      </x:c>
      <x:c r="R16" s="6" t="n">
        <x:f>P16-Q16</x:f>
        <x:v>0</x:v>
      </x:c>
      <x:c r="S16" s="6" t="n">
        <x:v>1400</x:v>
      </x:c>
      <x:c r="T16" s="6" t="n">
        <x:v>0</x:v>
      </x:c>
      <x:c r="U16" s="6" t="n">
        <x:v>10.43183424644775</x:v>
      </x:c>
      <x:c r="V16" s="6" t="n">
        <x:v>9.999999999999716</x:v>
      </x:c>
      <x:c r="W16" s="6" t="n">
        <x:f>P16-V16</x:f>
        <x:v>2.8421709430404007e-13</x:v>
      </x:c>
    </x:row>
    <x:row r="17">
      <x:c r="A17" t="str">
        <x:v>Jul 2027</x:v>
      </x:c>
      <x:c r="B17" s="6" t="n">
        <x:v>10</x:v>
      </x:c>
      <x:c r="C17" s="6" t="n">
        <x:v>370.3304499999999</x:v>
      </x:c>
      <x:c r="D17" s="6" t="n">
        <x:v>0</x:v>
      </x:c>
      <x:c r="E17" s="6" t="n">
        <x:v>0</x:v>
      </x:c>
      <x:c r="F17" s="6" t="n">
        <x:v>0</x:v>
      </x:c>
      <x:c r="G17" s="6" t="n">
        <x:v>0</x:v>
      </x:c>
      <x:c r="H17" s="6" t="n">
        <x:v>0</x:v>
      </x:c>
      <x:c r="I17" s="6" t="n">
        <x:f>SUM(B17:H17)</x:f>
        <x:v>380.3304499999999</x:v>
      </x:c>
      <x:c r="J17" s="6" t="n">
        <x:v>354.65694794999996</x:v>
      </x:c>
      <x:c r="K17" s="6" t="n">
        <x:v>2.08636684928955</x:v>
      </x:c>
      <x:c r="L17" s="6" t="n">
        <x:v>0</x:v>
      </x:c>
      <x:c r="M17" s="6" t="n">
        <x:v>0</x:v>
      </x:c>
      <x:c r="N17" s="6" t="n">
        <x:f>I17-SUM(J17:M17)</x:f>
        <x:v>23.587135200710406</x:v>
      </x:c>
      <x:c r="O17" s="6" t="n">
        <x:v>0</x:v>
      </x:c>
      <x:c r="P17" s="6" t="n">
        <x:f>N17-O17</x:f>
        <x:v>23.587135200710406</x:v>
      </x:c>
      <x:c r="Q17" s="6" t="n">
        <x:v>23.587135200710417</x:v>
      </x:c>
      <x:c r="R17" s="6" t="n">
        <x:f>P17-Q17</x:f>
        <x:v>-1.0658141036401503e-14</x:v>
      </x:c>
      <x:c r="S17" s="6" t="n">
        <x:v>1400</x:v>
      </x:c>
      <x:c r="T17" s="6" t="n">
        <x:v>0</x:v>
      </x:c>
      <x:c r="U17" s="6" t="n">
        <x:v>8.345467397158199</x:v>
      </x:c>
      <x:c r="V17" s="6" t="n">
        <x:v>23.587135200709906</x:v>
      </x:c>
      <x:c r="W17" s="6" t="n">
        <x:f>P17-V17</x:f>
        <x:v>5.009326287108706e-13</x:v>
      </x:c>
    </x:row>
    <x:row r="18">
      <x:c r="A18" t="str">
        <x:v>Aug 2027</x:v>
      </x:c>
      <x:c r="B18" s="6" t="n">
        <x:v>23.587135200710417</x:v>
      </x:c>
      <x:c r="C18" s="6" t="n">
        <x:v>390.39489999999995</x:v>
      </x:c>
      <x:c r="D18" s="6" t="n">
        <x:v>0</x:v>
      </x:c>
      <x:c r="E18" s="6" t="n">
        <x:v>0</x:v>
      </x:c>
      <x:c r="F18" s="6" t="n">
        <x:v>0</x:v>
      </x:c>
      <x:c r="G18" s="6" t="n">
        <x:v>0</x:v>
      </x:c>
      <x:c r="H18" s="6" t="n">
        <x:v>0</x:v>
      </x:c>
      <x:c r="I18" s="6" t="n">
        <x:f>SUM(B18:H18)</x:f>
        <x:v>413.98203520071036</x:v>
      </x:c>
      <x:c r="J18" s="6" t="n">
        <x:v>354.67701239999997</x:v>
      </x:c>
      <x:c r="K18" s="6" t="n">
        <x:v>0</x:v>
      </x:c>
      <x:c r="L18" s="6" t="n">
        <x:v>8.345467397158199</x:v>
      </x:c>
      <x:c r="M18" s="6" t="n">
        <x:v>0</x:v>
      </x:c>
      <x:c r="N18" s="6" t="n">
        <x:f>I18-SUM(J18:M18)</x:f>
        <x:v>50.9595554035522</x:v>
      </x:c>
      <x:c r="O18" s="6" t="n">
        <x:v>0</x:v>
      </x:c>
      <x:c r="P18" s="6" t="n">
        <x:f>N18-O18</x:f>
        <x:v>50.9595554035522</x:v>
      </x:c>
      <x:c r="Q18" s="6" t="n">
        <x:v>50.95955540355219</x:v>
      </x:c>
      <x:c r="R18" s="6" t="n">
        <x:f>P18-Q18</x:f>
        <x:v>1.4210854715202004e-14</x:v>
      </x:c>
      <x:c r="S18" s="6" t="n">
        <x:v>1400</x:v>
      </x:c>
      <x:c r="T18" s="6" t="n">
        <x:v>0</x:v>
      </x:c>
      <x:c r="U18" s="6" t="n">
        <x:v>0</x:v>
      </x:c>
      <x:c r="V18" s="6" t="n">
        <x:v>50.95955540355129</x:v>
      </x:c>
      <x:c r="W18" s="6" t="n">
        <x:f>P18-V18</x:f>
        <x:v>9.094947017729282e-13</x:v>
      </x:c>
    </x:row>
    <x:row r="19">
      <x:c r="A19" t="str">
        <x:v>Sep 2027</x:v>
      </x:c>
      <x:c r="B19" s="6" t="n">
        <x:v>50.95955540355219</x:v>
      </x:c>
      <x:c r="C19" s="6" t="n">
        <x:v>551.0188499999999</x:v>
      </x:c>
      <x:c r="D19" s="6" t="n">
        <x:v>0</x:v>
      </x:c>
      <x:c r="E19" s="6" t="n">
        <x:v>0</x:v>
      </x:c>
      <x:c r="F19" s="6" t="n">
        <x:v>0</x:v>
      </x:c>
      <x:c r="G19" s="6" t="n">
        <x:v>0</x:v>
      </x:c>
      <x:c r="H19" s="6" t="n">
        <x:v>0</x:v>
      </x:c>
      <x:c r="I19" s="6" t="n">
        <x:f>SUM(B19:H19)</x:f>
        <x:v>601.9784054035521</x:v>
      </x:c>
      <x:c r="J19" s="6" t="n">
        <x:v>354.83763634999997</x:v>
      </x:c>
      <x:c r="K19" s="6" t="n">
        <x:v>0</x:v>
      </x:c>
      <x:c r="L19" s="6" t="n">
        <x:v>0</x:v>
      </x:c>
      <x:c r="M19" s="6" t="n">
        <x:v>0</x:v>
      </x:c>
      <x:c r="N19" s="6" t="n">
        <x:f>I19-SUM(J19:M19)</x:f>
        <x:v>247.1407690535521</x:v>
      </x:c>
      <x:c r="O19" s="6" t="n">
        <x:v>0</x:v>
      </x:c>
      <x:c r="P19" s="6" t="n">
        <x:f>N19-O19</x:f>
        <x:v>247.1407690535521</x:v>
      </x:c>
      <x:c r="Q19" s="6" t="n">
        <x:v>247.1407690535521</x:v>
      </x:c>
      <x:c r="R19" s="6" t="n">
        <x:f>P19-Q19</x:f>
        <x:v>0</x:v>
      </x:c>
      <x:c r="S19" s="6" t="n">
        <x:v>1653</x:v>
      </x:c>
      <x:c r="T19" s="6" t="n">
        <x:v>253</x:v>
      </x:c>
      <x:c r="U19" s="6" t="n">
        <x:v>0</x:v>
      </x:c>
      <x:c r="V19" s="6" t="n">
        <x:v>247.14076905355103</x:v>
      </x:c>
      <x:c r="W19" s="6" t="n">
        <x:f>P19-V19</x:f>
        <x:v>1.0800249583553523e-12</x:v>
      </x:c>
    </x:row>
    <x:row r="20">
      <x:c r="A20" t="str">
        <x:v>Oct 2027</x:v>
      </x:c>
      <x:c r="B20" s="6" t="n">
        <x:v>247.1407690535521</x:v>
      </x:c>
      <x:c r="C20" s="6" t="n">
        <x:v>472.9181999999999</x:v>
      </x:c>
      <x:c r="D20" s="6" t="n">
        <x:v>0</x:v>
      </x:c>
      <x:c r="E20" s="6" t="n">
        <x:v>0</x:v>
      </x:c>
      <x:c r="F20" s="6" t="n">
        <x:v>48.31710100619307</x:v>
      </x:c>
      <x:c r="G20" s="6" t="n">
        <x:v>193.26840402477228</x:v>
      </x:c>
      <x:c r="H20" s="6" t="n">
        <x:v>0</x:v>
      </x:c>
      <x:c r="I20" s="6" t="n">
        <x:f>SUM(B20:H20)</x:f>
        <x:v>961.6444740845174</x:v>
      </x:c>
      <x:c r="J20" s="6" t="n">
        <x:v>351.64447408451736</x:v>
      </x:c>
      <x:c r="K20" s="6" t="n">
        <x:v>0</x:v>
      </x:c>
      <x:c r="L20" s="6" t="n">
        <x:v>0</x:v>
      </x:c>
      <x:c r="M20" s="6" t="n">
        <x:v>0</x:v>
      </x:c>
      <x:c r="N20" s="6" t="n">
        <x:f>I20-SUM(J20:M20)</x:f>
        <x:v>610</x:v>
      </x:c>
      <x:c r="O20" s="6" t="n">
        <x:v>600</x:v>
      </x:c>
      <x:c r="P20" s="6" t="n">
        <x:f>N20-O20</x:f>
        <x:v>10</x:v>
      </x:c>
      <x:c r="Q20" s="6" t="n">
        <x:v>10</x:v>
      </x:c>
      <x:c r="R20" s="6" t="n">
        <x:f>P20-Q20</x:f>
        <x:v>0</x:v>
      </x:c>
      <x:c r="S20" s="6" t="n">
        <x:v>1053</x:v>
      </x:c>
      <x:c r="T20" s="6" t="n">
        <x:v>0</x:v>
      </x:c>
      <x:c r="U20" s="6" t="n">
        <x:v>241.58550503096535</x:v>
      </x:c>
      <x:c r="V20" s="6" t="n">
        <x:v>9.999999999999318</x:v>
      </x:c>
      <x:c r="W20" s="6" t="n">
        <x:f>P20-V20</x:f>
        <x:v>6.821210263296962e-13</x:v>
      </x:c>
    </x:row>
    <x:row r="21">
      <x:c r="A21" t="str">
        <x:v>Nov 2027</x:v>
      </x:c>
      <x:c r="B21" s="6" t="n">
        <x:v>10</x:v>
      </x:c>
      <x:c r="C21" s="6" t="n">
        <x:v>326.57674999999995</x:v>
      </x:c>
      <x:c r="D21" s="6" t="n">
        <x:v>0</x:v>
      </x:c>
      <x:c r="E21" s="6" t="n">
        <x:v>0</x:v>
      </x:c>
      <x:c r="F21" s="6" t="n">
        <x:v>93.44120113969036</x:v>
      </x:c>
      <x:c r="G21" s="6" t="n">
        <x:v>373.76480455876145</x:v>
      </x:c>
      <x:c r="H21" s="6" t="n">
        <x:v>0</x:v>
      </x:c>
      <x:c r="I21" s="6" t="n">
        <x:f>SUM(B21:H21)</x:f>
        <x:v>803.7827556984518</x:v>
      </x:c>
      <x:c r="J21" s="6" t="n">
        <x:v>345.4656546922587</x:v>
      </x:c>
      <x:c r="K21" s="6" t="n">
        <x:v>48.31710100619307</x:v>
      </x:c>
      <x:c r="L21" s="6" t="n">
        <x:v>0</x:v>
      </x:c>
      <x:c r="M21" s="6" t="n">
        <x:v>0</x:v>
      </x:c>
      <x:c r="N21" s="6" t="n">
        <x:f>I21-SUM(J21:M21)</x:f>
        <x:v>410</x:v>
      </x:c>
      <x:c r="O21" s="6" t="n">
        <x:v>400</x:v>
      </x:c>
      <x:c r="P21" s="6" t="n">
        <x:f>N21-O21</x:f>
        <x:v>10</x:v>
      </x:c>
      <x:c r="Q21" s="6" t="n">
        <x:v>10</x:v>
      </x:c>
      <x:c r="R21" s="6" t="n">
        <x:f>P21-Q21</x:f>
        <x:v>0</x:v>
      </x:c>
      <x:c r="S21" s="6" t="n">
        <x:v>653</x:v>
      </x:c>
      <x:c r="T21" s="6" t="n">
        <x:v>0</x:v>
      </x:c>
      <x:c r="U21" s="6" t="n">
        <x:v>660.474409723224</x:v>
      </x:c>
      <x:c r="V21" s="6" t="n">
        <x:v>9.999999999998408</x:v>
      </x:c>
      <x:c r="W21" s="6" t="n">
        <x:f>P21-V21</x:f>
        <x:v>1.5916157281026244e-12</x:v>
      </x:c>
    </x:row>
    <x:row r="22">
      <x:c r="A22" t="str">
        <x:v>Dec 2027</x:v>
      </x:c>
      <x:c r="B22" s="6" t="n">
        <x:v>10</x:v>
      </x:c>
      <x:c r="C22" s="6" t="n">
        <x:v>452.85374999999993</x:v>
      </x:c>
      <x:c r="D22" s="6" t="n">
        <x:v>0</x:v>
      </x:c>
      <x:c r="E22" s="6" t="n">
        <x:v>0</x:v>
      </x:c>
      <x:c r="F22" s="6" t="n">
        <x:v>35.88955737134427</x:v>
      </x:c>
      <x:c r="G22" s="6" t="n">
        <x:v>143.55822948537707</x:v>
      </x:c>
      <x:c r="H22" s="6" t="n">
        <x:v>0</x:v>
      </x:c>
      <x:c r="I22" s="6" t="n">
        <x:f>SUM(B22:H22)</x:f>
        <x:v>642.3015368567212</x:v>
      </x:c>
      <x:c r="J22" s="6" t="n">
        <x:v>345.59193169225864</x:v>
      </x:c>
      <x:c r="K22" s="6" t="n">
        <x:v>93.44120113969036</x:v>
      </x:c>
      <x:c r="L22" s="6" t="n">
        <x:v>193.26840402477228</x:v>
      </x:c>
      <x:c r="M22" s="6" t="n">
        <x:v>0</x:v>
      </x:c>
      <x:c r="N22" s="6" t="n">
        <x:f>I22-SUM(J22:M22)</x:f>
        <x:v>10</x:v>
      </x:c>
      <x:c r="O22" s="6" t="n">
        <x:v>0</x:v>
      </x:c>
      <x:c r="P22" s="6" t="n">
        <x:f>N22-O22</x:f>
        <x:v>10</x:v>
      </x:c>
      <x:c r="Q22" s="6" t="n">
        <x:v>10</x:v>
      </x:c>
      <x:c r="R22" s="6" t="n">
        <x:f>P22-Q22</x:f>
        <x:v>0</x:v>
      </x:c>
      <x:c r="S22" s="6" t="n">
        <x:v>653</x:v>
      </x:c>
      <x:c r="T22" s="6" t="n">
        <x:v>0</x:v>
      </x:c>
      <x:c r="U22" s="6" t="n">
        <x:v>553.2125914154827</x:v>
      </x:c>
      <x:c r="V22" s="6" t="n">
        <x:v>9.999999999998465</x:v>
      </x:c>
      <x:c r="W22" s="6" t="n">
        <x:f>P22-V22</x:f>
        <x:v>1.5347723092418164e-12</x:v>
      </x:c>
    </x:row>
    <x:row r="23">
      <x:c r="A23" t="str">
        <x:v>Jan 2028</x:v>
      </x:c>
      <x:c r="B23" s="6" t="n">
        <x:v>10</x:v>
      </x:c>
      <x:c r="C23" s="6" t="n">
        <x:v>527.7827</x:v>
      </x:c>
      <x:c r="D23" s="6" t="n">
        <x:v>0</x:v>
      </x:c>
      <x:c r="E23" s="6" t="n">
        <x:v>0</x:v>
      </x:c>
      <x:c r="F23" s="6" t="n">
        <x:v>90.37085651447289</x:v>
      </x:c>
      <x:c r="G23" s="6" t="n">
        <x:v>361.4834260578915</x:v>
      </x:c>
      <x:c r="H23" s="6" t="n">
        <x:v>0</x:v>
      </x:c>
      <x:c r="I23" s="6" t="n">
        <x:f>SUM(B23:H23)</x:f>
        <x:v>989.6369825723643</x:v>
      </x:c>
      <x:c r="J23" s="6" t="n">
        <x:v>169.98262064225867</x:v>
      </x:c>
      <x:c r="K23" s="6" t="n">
        <x:v>35.88955737134427</x:v>
      </x:c>
      <x:c r="L23" s="6" t="n">
        <x:v>373.76480455876145</x:v>
      </x:c>
      <x:c r="M23" s="6" t="n">
        <x:v>0</x:v>
      </x:c>
      <x:c r="N23" s="6" t="n">
        <x:f>I23-SUM(J23:M23)</x:f>
        <x:v>410</x:v>
      </x:c>
      <x:c r="O23" s="6" t="n">
        <x:v>400</x:v>
      </x:c>
      <x:c r="P23" s="6" t="n">
        <x:f>N23-O23</x:f>
        <x:v>10</x:v>
      </x:c>
      <x:c r="Q23" s="6" t="n">
        <x:v>10</x:v>
      </x:c>
      <x:c r="R23" s="6" t="n">
        <x:f>P23-Q23</x:f>
        <x:v>0</x:v>
      </x:c>
      <x:c r="S23" s="6" t="n">
        <x:v>253</x:v>
      </x:c>
      <x:c r="T23" s="6" t="n">
        <x:v>0</x:v>
      </x:c>
      <x:c r="U23" s="6" t="n">
        <x:v>595.4125120577414</x:v>
      </x:c>
      <x:c r="V23" s="6" t="n">
        <x:v>9.999999999999034</x:v>
      </x:c>
      <x:c r="W23" s="6" t="n">
        <x:f>P23-V23</x:f>
        <x:v>9.663381206337363e-13</x:v>
      </x:c>
    </x:row>
    <x:row r="24">
      <x:c r="A24" t="str">
        <x:v>Feb 2028</x:v>
      </x:c>
      <x:c r="B24" s="6" t="n">
        <x:v>10</x:v>
      </x:c>
      <x:c r="C24" s="6" t="n">
        <x:v>457.7295</x:v>
      </x:c>
      <x:c r="D24" s="6" t="n">
        <x:v>0</x:v>
      </x:c>
      <x:c r="E24" s="6" t="n">
        <x:v>0</x:v>
      </x:c>
      <x:c r="F24" s="6" t="n">
        <x:v>0</x:v>
      </x:c>
      <x:c r="G24" s="6" t="n">
        <x:v>0</x:v>
      </x:c>
      <x:c r="H24" s="6" t="n">
        <x:v>0</x:v>
      </x:c>
      <x:c r="I24" s="6" t="n">
        <x:f>SUM(B24:H24)</x:f>
        <x:v>467.7295</x:v>
      </x:c>
      <x:c r="J24" s="6" t="n">
        <x:v>3.3751458267761114</x:v>
      </x:c>
      <x:c r="K24" s="6" t="n">
        <x:v>90.37085651447289</x:v>
      </x:c>
      <x:c r="L24" s="6" t="n">
        <x:v>143.55822948537707</x:v>
      </x:c>
      <x:c r="M24" s="6" t="n">
        <x:v>0</x:v>
      </x:c>
      <x:c r="N24" s="6" t="n">
        <x:f>I24-SUM(J24:M24)</x:f>
        <x:v>230.42526817337392</x:v>
      </x:c>
      <x:c r="O24" s="6" t="n">
        <x:v>0</x:v>
      </x:c>
      <x:c r="P24" s="6" t="n">
        <x:f>N24-O24</x:f>
        <x:v>230.42526817337392</x:v>
      </x:c>
      <x:c r="Q24" s="6" t="n">
        <x:v>230.42526817337387</x:v>
      </x:c>
      <x:c r="R24" s="6" t="n">
        <x:f>P24-Q24</x:f>
        <x:v>5.684341886080802e-14</x:v>
      </x:c>
      <x:c r="S24" s="6" t="n">
        <x:v>253</x:v>
      </x:c>
      <x:c r="T24" s="6" t="n">
        <x:v>0</x:v>
      </x:c>
      <x:c r="U24" s="6" t="n">
        <x:v>361.48342605789145</x:v>
      </x:c>
      <x:c r="V24" s="6" t="n">
        <x:v>230.42526817337375</x:v>
      </x:c>
      <x:c r="W24" s="6" t="n">
        <x:f>P24-V24</x:f>
        <x:v>1.7053025658242404e-13</x:v>
      </x:c>
    </x:row>
    <x:row r="25">
      <x:c r="A25" t="str">
        <x:v>Mar 2028</x:v>
      </x:c>
      <x:c r="B25" s="6" t="n">
        <x:v>230.42526817337387</x:v>
      </x:c>
      <x:c r="C25" s="6" t="n">
        <x:v>438.11814999999996</x:v>
      </x:c>
      <x:c r="D25" s="6" t="n">
        <x:v>0</x:v>
      </x:c>
      <x:c r="E25" s="6" t="n">
        <x:v>0</x:v>
      </x:c>
      <x:c r="F25" s="6" t="n">
        <x:v>0</x:v>
      </x:c>
      <x:c r="G25" s="6" t="n">
        <x:v>0</x:v>
      </x:c>
      <x:c r="H25" s="6" t="n">
        <x:v>0</x:v>
      </x:c>
      <x:c r="I25" s="6" t="n">
        <x:f>SUM(B25:H25)</x:f>
        <x:v>668.5434181733738</x:v>
      </x:c>
      <x:c r="J25" s="6" t="n">
        <x:v>200.17655815</x:v>
      </x:c>
      <x:c r="K25" s="6" t="n">
        <x:v>0</x:v>
      </x:c>
      <x:c r="L25" s="6" t="n">
        <x:v>361.4834260578915</x:v>
      </x:c>
      <x:c r="M25" s="6" t="n">
        <x:v>0</x:v>
      </x:c>
      <x:c r="N25" s="6" t="n">
        <x:f>I25-SUM(J25:M25)</x:f>
        <x:v>106.88343396548225</x:v>
      </x:c>
      <x:c r="O25" s="6" t="n">
        <x:v>0</x:v>
      </x:c>
      <x:c r="P25" s="6" t="n">
        <x:f>N25-O25</x:f>
        <x:v>106.88343396548225</x:v>
      </x:c>
      <x:c r="Q25" s="6" t="n">
        <x:v>106.88343396548225</x:v>
      </x:c>
      <x:c r="R25" s="6" t="n">
        <x:f>P25-Q25</x:f>
        <x:v>0</x:v>
      </x:c>
      <x:c r="S25" s="6" t="n">
        <x:v>253</x:v>
      </x:c>
      <x:c r="T25" s="6" t="n">
        <x:v>0</x:v>
      </x:c>
      <x:c r="U25" s="6" t="n">
        <x:v>-7.105427357601002e-14</x:v>
      </x:c>
      <x:c r="V25" s="6" t="n">
        <x:v>106.88343396548237</x:v>
      </x:c>
      <x:c r="W25" s="6" t="n">
        <x:f>P25-V25</x:f>
        <x:v>-1.1368683772161603e-13</x:v>
      </x:c>
    </x:row>
    <x:row r="26">
      <x:c r="A26" t="str">
        <x:v>Apr 2028</x:v>
      </x:c>
      <x:c r="B26" s="6" t="n">
        <x:v>106.88343396548225</x:v>
      </x:c>
      <x:c r="C26" s="6" t="n">
        <x:v>432.33619999999996</x:v>
      </x:c>
      <x:c r="D26" s="6" t="n">
        <x:v>0</x:v>
      </x:c>
      <x:c r="E26" s="6" t="n">
        <x:v>0</x:v>
      </x:c>
      <x:c r="F26" s="6" t="n">
        <x:v>0</x:v>
      </x:c>
      <x:c r="G26" s="6" t="n">
        <x:v>0</x:v>
      </x:c>
      <x:c r="H26" s="6" t="n">
        <x:v>0</x:v>
      </x:c>
      <x:c r="I26" s="6" t="n">
        <x:f>SUM(B26:H26)</x:f>
        <x:v>539.2196339654822</x:v>
      </x:c>
      <x:c r="J26" s="6" t="n">
        <x:v>3.5473978154825927</x:v>
      </x:c>
      <x:c r="K26" s="6" t="n">
        <x:v>0</x:v>
      </x:c>
      <x:c r="L26" s="6" t="n">
        <x:v>0</x:v>
      </x:c>
      <x:c r="M26" s="6" t="n">
        <x:v>0</x:v>
      </x:c>
      <x:c r="N26" s="6" t="n">
        <x:f>I26-SUM(J26:M26)</x:f>
        <x:v>535.6722361499997</x:v>
      </x:c>
      <x:c r="O26" s="6" t="n">
        <x:v>0</x:v>
      </x:c>
      <x:c r="P26" s="6" t="n">
        <x:f>N26-O26</x:f>
        <x:v>535.6722361499997</x:v>
      </x:c>
      <x:c r="Q26" s="6" t="n">
        <x:v>535.6722361499997</x:v>
      </x:c>
      <x:c r="R26" s="6" t="n">
        <x:f>P26-Q26</x:f>
        <x:v>0</x:v>
      </x:c>
      <x:c r="S26" s="6" t="n">
        <x:v>253</x:v>
      </x:c>
      <x:c r="T26" s="6" t="n">
        <x:v>0</x:v>
      </x:c>
      <x:c r="U26" s="6" t="n">
        <x:v>-7.105427357601002e-14</x:v>
      </x:c>
      <x:c r="V26" s="6" t="n">
        <x:v>535.6722361499995</x:v>
      </x:c>
      <x:c r="W26" s="6" t="n">
        <x:f>P26-V26</x:f>
        <x:v>1.1368683772161603e-13</x:v>
      </x:c>
    </x:row>
    <x:row r="27">
      <x:c r="A27" t="str">
        <x:v>May 2028</x:v>
      </x:c>
      <x:c r="B27" s="6" t="n">
        <x:v>535.6722361499997</x:v>
      </x:c>
      <x:c r="C27" s="6" t="n">
        <x:v>348.4536</x:v>
      </x:c>
      <x:c r="D27" s="6" t="n">
        <x:v>0</x:v>
      </x:c>
      <x:c r="E27" s="6" t="n">
        <x:v>0</x:v>
      </x:c>
      <x:c r="F27" s="6" t="n">
        <x:v>0</x:v>
      </x:c>
      <x:c r="G27" s="6" t="n">
        <x:v>0</x:v>
      </x:c>
      <x:c r="H27" s="6" t="n">
        <x:v>0</x:v>
      </x:c>
      <x:c r="I27" s="6" t="n">
        <x:f>SUM(B27:H27)</x:f>
        <x:v>884.1258361499997</x:v>
      </x:c>
      <x:c r="J27" s="6" t="n">
        <x:v>0.3484536</x:v>
      </x:c>
      <x:c r="K27" s="6" t="n">
        <x:v>0</x:v>
      </x:c>
      <x:c r="L27" s="6" t="n">
        <x:v>0</x:v>
      </x:c>
      <x:c r="M27" s="6" t="n">
        <x:v>0</x:v>
      </x:c>
      <x:c r="N27" s="6" t="n">
        <x:f>I27-SUM(J27:M27)</x:f>
        <x:v>883.7773825499997</x:v>
      </x:c>
      <x:c r="O27" s="6" t="n">
        <x:v>0</x:v>
      </x:c>
      <x:c r="P27" s="6" t="n">
        <x:f>N27-O27</x:f>
        <x:v>883.7773825499997</x:v>
      </x:c>
      <x:c r="Q27" s="6" t="n">
        <x:v>883.7773825499997</x:v>
      </x:c>
      <x:c r="R27" s="6" t="n">
        <x:f>P27-Q27</x:f>
        <x:v>0</x:v>
      </x:c>
      <x:c r="S27" s="6" t="n">
        <x:v>253</x:v>
      </x:c>
      <x:c r="T27" s="6" t="n">
        <x:v>0</x:v>
      </x:c>
      <x:c r="U27" s="6" t="n">
        <x:v>-7.105427357601002e-14</x:v>
      </x:c>
      <x:c r="V27" s="6" t="n">
        <x:v>883.7773825499994</x:v>
      </x:c>
      <x:c r="W27" s="6" t="n">
        <x:f>P27-V27</x:f>
        <x:v>3.410605131648481e-13</x:v>
      </x:c>
    </x:row>
    <x:row r="28">
      <x:c r="A28" t="str">
        <x:v>Jun 2028</x:v>
      </x:c>
      <x:c r="B28" s="6" t="n">
        <x:v>883.7773825499997</x:v>
      </x:c>
      <x:c r="C28" s="6" t="n">
        <x:v>278.4004</x:v>
      </x:c>
      <x:c r="D28" s="6" t="n">
        <x:v>0</x:v>
      </x:c>
      <x:c r="E28" s="6" t="n">
        <x:v>0</x:v>
      </x:c>
      <x:c r="F28" s="6" t="n">
        <x:v>0</x:v>
      </x:c>
      <x:c r="G28" s="6" t="n">
        <x:v>0</x:v>
      </x:c>
      <x:c r="H28" s="6" t="n">
        <x:v>0</x:v>
      </x:c>
      <x:c r="I28" s="6" t="n">
        <x:f>SUM(B28:H28)</x:f>
        <x:v>1162.1777825499998</x:v>
      </x:c>
      <x:c r="J28" s="6" t="n">
        <x:v>0.2784004</x:v>
      </x:c>
      <x:c r="K28" s="6" t="n">
        <x:v>0</x:v>
      </x:c>
      <x:c r="L28" s="6" t="n">
        <x:v>0</x:v>
      </x:c>
      <x:c r="M28" s="6" t="n">
        <x:v>0</x:v>
      </x:c>
      <x:c r="N28" s="6" t="n">
        <x:f>I28-SUM(J28:M28)</x:f>
        <x:v>1161.8993821499998</x:v>
      </x:c>
      <x:c r="O28" s="6" t="n">
        <x:v>0</x:v>
      </x:c>
      <x:c r="P28" s="6" t="n">
        <x:f>N28-O28</x:f>
        <x:v>1161.8993821499998</x:v>
      </x:c>
      <x:c r="Q28" s="6" t="n">
        <x:v>1161.8993821499998</x:v>
      </x:c>
      <x:c r="R28" s="6" t="n">
        <x:f>P28-Q28</x:f>
        <x:v>0</x:v>
      </x:c>
      <x:c r="S28" s="6" t="n">
        <x:v>253</x:v>
      </x:c>
      <x:c r="T28" s="6" t="n">
        <x:v>0</x:v>
      </x:c>
      <x:c r="U28" s="6" t="n">
        <x:v>-7.105427357601002e-14</x:v>
      </x:c>
      <x:c r="V28" s="6" t="n">
        <x:v>1161.8993821499998</x:v>
      </x:c>
      <x:c r="W28" s="6" t="n">
        <x:f>P28-V28</x:f>
        <x:v>0</x:v>
      </x:c>
    </x:row>
    <x:row r="29">
      <x:c r="A29" t="str">
        <x:v>Jul 2028</x:v>
      </x:c>
      <x:c r="B29" s="6" t="n">
        <x:v>1161.8993821499998</x:v>
      </x:c>
      <x:c r="C29" s="6" t="n">
        <x:v>314.10665</x:v>
      </x:c>
      <x:c r="D29" s="6" t="n">
        <x:v>0</x:v>
      </x:c>
      <x:c r="E29" s="6" t="n">
        <x:v>0</x:v>
      </x:c>
      <x:c r="F29" s="6" t="n">
        <x:v>0</x:v>
      </x:c>
      <x:c r="G29" s="6" t="n">
        <x:v>0</x:v>
      </x:c>
      <x:c r="H29" s="6" t="n">
        <x:v>0</x:v>
      </x:c>
      <x:c r="I29" s="6" t="n">
        <x:f>SUM(B29:H29)</x:f>
        <x:v>1476.0060321499998</x:v>
      </x:c>
      <x:c r="J29" s="6" t="n">
        <x:v>0.31410665</x:v>
      </x:c>
      <x:c r="K29" s="6" t="n">
        <x:v>0</x:v>
      </x:c>
      <x:c r="L29" s="6" t="n">
        <x:v>0</x:v>
      </x:c>
      <x:c r="M29" s="6" t="n">
        <x:v>0</x:v>
      </x:c>
      <x:c r="N29" s="6" t="n">
        <x:f>I29-SUM(J29:M29)</x:f>
        <x:v>1475.6919254999998</x:v>
      </x:c>
      <x:c r="O29" s="6" t="n">
        <x:v>0</x:v>
      </x:c>
      <x:c r="P29" s="6" t="n">
        <x:f>N29-O29</x:f>
        <x:v>1475.6919254999998</x:v>
      </x:c>
      <x:c r="Q29" s="6" t="n">
        <x:v>1475.6919254999998</x:v>
      </x:c>
      <x:c r="R29" s="6" t="n">
        <x:f>P29-Q29</x:f>
        <x:v>0</x:v>
      </x:c>
      <x:c r="S29" s="6" t="n">
        <x:v>253</x:v>
      </x:c>
      <x:c r="T29" s="6" t="n">
        <x:v>0</x:v>
      </x:c>
      <x:c r="U29" s="6" t="n">
        <x:v>-7.105427357601002e-14</x:v>
      </x:c>
      <x:c r="V29" s="6" t="n">
        <x:v>1475.6919254999993</x:v>
      </x:c>
      <x:c r="W29" s="6" t="n">
        <x:f>P29-V29</x:f>
        <x:v>4.547473508864641e-13</x:v>
      </x:c>
    </x:row>
    <x:row r="30">
      <x:c r="A30" t="str">
        <x:v>Aug 2028</x:v>
      </x:c>
      <x:c r="B30" s="6" t="n">
        <x:v>1475.6919254999998</x:v>
      </x:c>
      <x:c r="C30" s="6" t="n">
        <x:v>149.8579</x:v>
      </x:c>
      <x:c r="D30" s="6" t="n">
        <x:v>0</x:v>
      </x:c>
      <x:c r="E30" s="6" t="n">
        <x:v>0</x:v>
      </x:c>
      <x:c r="F30" s="6" t="n">
        <x:v>0</x:v>
      </x:c>
      <x:c r="G30" s="6" t="n">
        <x:v>0</x:v>
      </x:c>
      <x:c r="H30" s="6" t="n">
        <x:v>0</x:v>
      </x:c>
      <x:c r="I30" s="6" t="n">
        <x:f>SUM(B30:H30)</x:f>
        <x:v>1625.5498254999998</x:v>
      </x:c>
      <x:c r="J30" s="6" t="n">
        <x:v>0.14985790000000002</x:v>
      </x:c>
      <x:c r="K30" s="6" t="n">
        <x:v>0</x:v>
      </x:c>
      <x:c r="L30" s="6" t="n">
        <x:v>0</x:v>
      </x:c>
      <x:c r="M30" s="6" t="n">
        <x:v>0</x:v>
      </x:c>
      <x:c r="N30" s="6" t="n">
        <x:f>I30-SUM(J30:M30)</x:f>
        <x:v>1625.3999675999999</x:v>
      </x:c>
      <x:c r="O30" s="6" t="n">
        <x:v>0</x:v>
      </x:c>
      <x:c r="P30" s="6" t="n">
        <x:f>N30-O30</x:f>
        <x:v>1625.3999675999999</x:v>
      </x:c>
      <x:c r="Q30" s="6" t="n">
        <x:v>1625.3999675999999</x:v>
      </x:c>
      <x:c r="R30" s="6" t="n">
        <x:f>P30-Q30</x:f>
        <x:v>0</x:v>
      </x:c>
      <x:c r="S30" s="6" t="n">
        <x:v>253</x:v>
      </x:c>
      <x:c r="T30" s="6" t="n">
        <x:v>0</x:v>
      </x:c>
      <x:c r="U30" s="6" t="n">
        <x:v>-7.105427357601002e-14</x:v>
      </x:c>
      <x:c r="V30" s="6" t="n">
        <x:v>1625.399967599999</x:v>
      </x:c>
      <x:c r="W30" s="6" t="n">
        <x:f>P30-V30</x:f>
        <x:v>9.094947017729282e-13</x:v>
      </x:c>
    </x:row>
    <x:row r="31">
      <x:c r="A31" t="str">
        <x:v>Sep 2028</x:v>
      </x:c>
      <x:c r="B31" s="6" t="n">
        <x:v>1625.3999675999999</x:v>
      </x:c>
      <x:c r="C31" s="6" t="n">
        <x:v>26.7526</x:v>
      </x:c>
      <x:c r="D31" s="6" t="n">
        <x:v>0</x:v>
      </x:c>
      <x:c r="E31" s="6" t="n">
        <x:v>0</x:v>
      </x:c>
      <x:c r="F31" s="6" t="n">
        <x:v>0</x:v>
      </x:c>
      <x:c r="G31" s="6" t="n">
        <x:v>0</x:v>
      </x:c>
      <x:c r="H31" s="6" t="n">
        <x:v>0</x:v>
      </x:c>
      <x:c r="I31" s="6" t="n">
        <x:f>SUM(B31:H31)</x:f>
        <x:v>1652.1525675999999</x:v>
      </x:c>
      <x:c r="J31" s="6" t="n">
        <x:v>0.0267526</x:v>
      </x:c>
      <x:c r="K31" s="6" t="n">
        <x:v>0</x:v>
      </x:c>
      <x:c r="L31" s="6" t="n">
        <x:v>0</x:v>
      </x:c>
      <x:c r="M31" s="6" t="n">
        <x:v>0</x:v>
      </x:c>
      <x:c r="N31" s="6" t="n">
        <x:f>I31-SUM(J31:M31)</x:f>
        <x:v>1652.1258149999999</x:v>
      </x:c>
      <x:c r="O31" s="6" t="n">
        <x:v>0</x:v>
      </x:c>
      <x:c r="P31" s="6" t="n">
        <x:f>N31-O31</x:f>
        <x:v>1652.1258149999999</x:v>
      </x:c>
      <x:c r="Q31" s="6" t="n">
        <x:v>1652.1258149999999</x:v>
      </x:c>
      <x:c r="R31" s="6" t="n">
        <x:f>P31-Q31</x:f>
        <x:v>0</x:v>
      </x:c>
      <x:c r="S31" s="6" t="n">
        <x:v>363.65999999999997</x:v>
      </x:c>
      <x:c r="T31" s="6" t="n">
        <x:v>110.66</x:v>
      </x:c>
      <x:c r="U31" s="6" t="n">
        <x:v>-7.105427357601002e-14</x:v>
      </x:c>
      <x:c r="V31" s="6" t="n">
        <x:v>1652.125814999999</x:v>
      </x:c>
      <x:c r="W31" s="6" t="n">
        <x:f>P31-V31</x:f>
        <x:v>9.094947017729282e-13</x:v>
      </x:c>
    </x:row>
    <x:row r="32">
      <x:c r="A32" t="str">
        <x:v>Oct 2028</x:v>
      </x:c>
      <x:c r="B32" s="6" t="n">
        <x:v>1652.1258149999999</x:v>
      </x:c>
      <x:c r="C32" s="6" t="n">
        <x:v>0</x:v>
      </x:c>
      <x:c r="D32" s="6" t="n">
        <x:v>0</x:v>
      </x:c>
      <x:c r="E32" s="6" t="n">
        <x:v>0</x:v>
      </x:c>
      <x:c r="F32" s="6" t="n">
        <x:v>0</x:v>
      </x:c>
      <x:c r="G32" s="6" t="n">
        <x:v>0</x:v>
      </x:c>
      <x:c r="H32" s="6" t="n">
        <x:v>0</x:v>
      </x:c>
      <x:c r="I32" s="6" t="n">
        <x:f>SUM(B32:H32)</x:f>
        <x:v>1652.1258149999999</x:v>
      </x:c>
      <x:c r="J32" s="6" t="n">
        <x:v>0</x:v>
      </x:c>
      <x:c r="K32" s="6" t="n">
        <x:v>0</x:v>
      </x:c>
      <x:c r="L32" s="6" t="n">
        <x:v>0</x:v>
      </x:c>
      <x:c r="M32" s="6" t="n">
        <x:v>0</x:v>
      </x:c>
      <x:c r="N32" s="6" t="n">
        <x:f>I32-SUM(J32:M32)</x:f>
        <x:v>1652.1258149999999</x:v>
      </x:c>
      <x:c r="O32" s="6" t="n">
        <x:v>0</x:v>
      </x:c>
      <x:c r="P32" s="6" t="n">
        <x:f>N32-O32</x:f>
        <x:v>1652.1258149999999</x:v>
      </x:c>
      <x:c r="Q32" s="6" t="n">
        <x:v>1652.1258149999999</x:v>
      </x:c>
      <x:c r="R32" s="6" t="n">
        <x:f>P32-Q32</x:f>
        <x:v>0</x:v>
      </x:c>
      <x:c r="S32" s="6" t="n">
        <x:v>363.65999999999997</x:v>
      </x:c>
      <x:c r="T32" s="6" t="n">
        <x:v>0</x:v>
      </x:c>
      <x:c r="U32" s="6" t="n">
        <x:v>-7.105427357601002e-14</x:v>
      </x:c>
      <x:c r="V32" s="6" t="n">
        <x:v>1652.125814999999</x:v>
      </x:c>
      <x:c r="W32" s="6" t="n">
        <x:f>P32-V32</x:f>
        <x:v>9.094947017729282e-13</x:v>
      </x:c>
    </x:row>
    <x:row r="33">
      <x:c r="A33" t="str">
        <x:v>Nov 2028</x:v>
      </x:c>
      <x:c r="B33" s="6" t="n">
        <x:v>1652.1258149999999</x:v>
      </x:c>
      <x:c r="C33" s="6" t="n">
        <x:v>0</x:v>
      </x:c>
      <x:c r="D33" s="6" t="n">
        <x:v>0</x:v>
      </x:c>
      <x:c r="E33" s="6" t="n">
        <x:v>0</x:v>
      </x:c>
      <x:c r="F33" s="6" t="n">
        <x:v>0</x:v>
      </x:c>
      <x:c r="G33" s="6" t="n">
        <x:v>0</x:v>
      </x:c>
      <x:c r="H33" s="6" t="n">
        <x:v>0</x:v>
      </x:c>
      <x:c r="I33" s="6" t="n">
        <x:f>SUM(B33:H33)</x:f>
        <x:v>1652.1258149999999</x:v>
      </x:c>
      <x:c r="J33" s="6" t="n">
        <x:v>0</x:v>
      </x:c>
      <x:c r="K33" s="6" t="n">
        <x:v>0</x:v>
      </x:c>
      <x:c r="L33" s="6" t="n">
        <x:v>0</x:v>
      </x:c>
      <x:c r="M33" s="6" t="n">
        <x:v>0</x:v>
      </x:c>
      <x:c r="N33" s="6" t="n">
        <x:f>I33-SUM(J33:M33)</x:f>
        <x:v>1652.1258149999999</x:v>
      </x:c>
      <x:c r="O33" s="6" t="n">
        <x:v>0</x:v>
      </x:c>
      <x:c r="P33" s="6" t="n">
        <x:f>N33-O33</x:f>
        <x:v>1652.1258149999999</x:v>
      </x:c>
      <x:c r="Q33" s="6" t="n">
        <x:v>1652.1258149999999</x:v>
      </x:c>
      <x:c r="R33" s="6" t="n">
        <x:f>P33-Q33</x:f>
        <x:v>0</x:v>
      </x:c>
      <x:c r="S33" s="6" t="n">
        <x:v>363.65999999999997</x:v>
      </x:c>
      <x:c r="T33" s="6" t="n">
        <x:v>0</x:v>
      </x:c>
      <x:c r="U33" s="6" t="n">
        <x:v>-7.105427357601002e-14</x:v>
      </x:c>
      <x:c r="V33" s="6" t="n">
        <x:v>1652.125814999999</x:v>
      </x:c>
      <x:c r="W33" s="6" t="n">
        <x:f>P33-V33</x:f>
        <x:v>9.094947017729282e-13</x:v>
      </x:c>
    </x:row>
    <x:row r="34">
      <x:c r="A34" t="str">
        <x:v>Dec 2028</x:v>
      </x:c>
      <x:c r="B34" s="6" t="n">
        <x:v>1652.1258149999999</x:v>
      </x:c>
      <x:c r="C34" s="6" t="n">
        <x:v>0</x:v>
      </x:c>
      <x:c r="D34" s="6" t="n">
        <x:v>0</x:v>
      </x:c>
      <x:c r="E34" s="6" t="n">
        <x:v>0</x:v>
      </x:c>
      <x:c r="F34" s="6" t="n">
        <x:v>0</x:v>
      </x:c>
      <x:c r="G34" s="6" t="n">
        <x:v>0</x:v>
      </x:c>
      <x:c r="H34" s="6" t="n">
        <x:v>0</x:v>
      </x:c>
      <x:c r="I34" s="6" t="n">
        <x:f>SUM(B34:H34)</x:f>
        <x:v>1652.1258149999999</x:v>
      </x:c>
      <x:c r="J34" s="6" t="n">
        <x:v>0</x:v>
      </x:c>
      <x:c r="K34" s="6" t="n">
        <x:v>0</x:v>
      </x:c>
      <x:c r="L34" s="6" t="n">
        <x:v>0</x:v>
      </x:c>
      <x:c r="M34" s="6" t="n">
        <x:v>0</x:v>
      </x:c>
      <x:c r="N34" s="6" t="n">
        <x:f>I34-SUM(J34:M34)</x:f>
        <x:v>1652.1258149999999</x:v>
      </x:c>
      <x:c r="O34" s="6" t="n">
        <x:v>0</x:v>
      </x:c>
      <x:c r="P34" s="6" t="n">
        <x:f>N34-O34</x:f>
        <x:v>1652.1258149999999</x:v>
      </x:c>
      <x:c r="Q34" s="6" t="n">
        <x:v>1652.1258149999999</x:v>
      </x:c>
      <x:c r="R34" s="6" t="n">
        <x:f>P34-Q34</x:f>
        <x:v>0</x:v>
      </x:c>
      <x:c r="S34" s="6" t="n">
        <x:v>363.65999999999997</x:v>
      </x:c>
      <x:c r="T34" s="6" t="n">
        <x:v>0</x:v>
      </x:c>
      <x:c r="U34" s="6" t="n">
        <x:v>-7.105427357601002e-14</x:v>
      </x:c>
      <x:c r="V34" s="6" t="n">
        <x:v>1652.125814999999</x:v>
      </x:c>
      <x:c r="W34" s="6" t="n">
        <x:f>P34-V34</x:f>
        <x:v>9.094947017729282e-13</x:v>
      </x:c>
    </x:row>
    <x:row r="35">
      <x:c r="A35" t="str">
        <x:v>Jan 2029</x:v>
      </x:c>
      <x:c r="B35" s="6" t="n">
        <x:v>1652.1258149999999</x:v>
      </x:c>
      <x:c r="C35" s="6" t="n">
        <x:v>0</x:v>
      </x:c>
      <x:c r="D35" s="6" t="n">
        <x:v>0</x:v>
      </x:c>
      <x:c r="E35" s="6" t="n">
        <x:v>0</x:v>
      </x:c>
      <x:c r="F35" s="6" t="n">
        <x:v>0</x:v>
      </x:c>
      <x:c r="G35" s="6" t="n">
        <x:v>0</x:v>
      </x:c>
      <x:c r="H35" s="6" t="n">
        <x:v>0</x:v>
      </x:c>
      <x:c r="I35" s="6" t="n">
        <x:f>SUM(B35:H35)</x:f>
        <x:v>1652.1258149999999</x:v>
      </x:c>
      <x:c r="J35" s="6" t="n">
        <x:v>0</x:v>
      </x:c>
      <x:c r="K35" s="6" t="n">
        <x:v>0</x:v>
      </x:c>
      <x:c r="L35" s="6" t="n">
        <x:v>0</x:v>
      </x:c>
      <x:c r="M35" s="6" t="n">
        <x:v>0</x:v>
      </x:c>
      <x:c r="N35" s="6" t="n">
        <x:f>I35-SUM(J35:M35)</x:f>
        <x:v>1652.1258149999999</x:v>
      </x:c>
      <x:c r="O35" s="6" t="n">
        <x:v>0</x:v>
      </x:c>
      <x:c r="P35" s="6" t="n">
        <x:f>N35-O35</x:f>
        <x:v>1652.1258149999999</x:v>
      </x:c>
      <x:c r="Q35" s="6" t="n">
        <x:v>1652.1258149999999</x:v>
      </x:c>
      <x:c r="R35" s="6" t="n">
        <x:f>P35-Q35</x:f>
        <x:v>0</x:v>
      </x:c>
      <x:c r="S35" s="6" t="n">
        <x:v>363.65999999999997</x:v>
      </x:c>
      <x:c r="T35" s="6" t="n">
        <x:v>0</x:v>
      </x:c>
      <x:c r="U35" s="6" t="n">
        <x:v>-7.105427357601002e-14</x:v>
      </x:c>
      <x:c r="V35" s="6" t="n">
        <x:v>1652.125814999999</x:v>
      </x:c>
      <x:c r="W35" s="6" t="n">
        <x:f>P35-V35</x:f>
        <x:v>9.094947017729282e-13</x:v>
      </x:c>
    </x:row>
    <x:row r="36">
      <x:c r="A36" t="str">
        <x:v>Feb 2029</x:v>
      </x:c>
      <x:c r="B36" s="6" t="n">
        <x:v>1652.1258149999999</x:v>
      </x:c>
      <x:c r="C36" s="6" t="n">
        <x:v>0</x:v>
      </x:c>
      <x:c r="D36" s="6" t="n">
        <x:v>0</x:v>
      </x:c>
      <x:c r="E36" s="6" t="n">
        <x:v>0</x:v>
      </x:c>
      <x:c r="F36" s="6" t="n">
        <x:v>0</x:v>
      </x:c>
      <x:c r="G36" s="6" t="n">
        <x:v>0</x:v>
      </x:c>
      <x:c r="H36" s="6" t="n">
        <x:v>0</x:v>
      </x:c>
      <x:c r="I36" s="6" t="n">
        <x:f>SUM(B36:H36)</x:f>
        <x:v>1652.1258149999999</x:v>
      </x:c>
      <x:c r="J36" s="6" t="n">
        <x:v>0</x:v>
      </x:c>
      <x:c r="K36" s="6" t="n">
        <x:v>0</x:v>
      </x:c>
      <x:c r="L36" s="6" t="n">
        <x:v>0</x:v>
      </x:c>
      <x:c r="M36" s="6" t="n">
        <x:v>0</x:v>
      </x:c>
      <x:c r="N36" s="6" t="n">
        <x:f>I36-SUM(J36:M36)</x:f>
        <x:v>1652.1258149999999</x:v>
      </x:c>
      <x:c r="O36" s="6" t="n">
        <x:v>0</x:v>
      </x:c>
      <x:c r="P36" s="6" t="n">
        <x:f>N36-O36</x:f>
        <x:v>1652.1258149999999</x:v>
      </x:c>
      <x:c r="Q36" s="6" t="n">
        <x:v>1652.1258149999999</x:v>
      </x:c>
      <x:c r="R36" s="6" t="n">
        <x:f>P36-Q36</x:f>
        <x:v>0</x:v>
      </x:c>
      <x:c r="S36" s="6" t="n">
        <x:v>363.65999999999997</x:v>
      </x:c>
      <x:c r="T36" s="6" t="n">
        <x:v>0</x:v>
      </x:c>
      <x:c r="U36" s="6" t="n">
        <x:v>-7.105427357601002e-14</x:v>
      </x:c>
      <x:c r="V36" s="6" t="n">
        <x:v>1652.125814999999</x:v>
      </x:c>
      <x:c r="W36" s="6" t="n">
        <x:f>P36-V36</x:f>
        <x:v>9.094947017729282e-13</x:v>
      </x:c>
    </x:row>
    <x:row r="37">
      <x:c r="A37" t="str">
        <x:v>Mar 2029</x:v>
      </x:c>
      <x:c r="B37" s="6" t="n">
        <x:v>1652.1258149999999</x:v>
      </x:c>
      <x:c r="C37" s="6" t="n">
        <x:v>0</x:v>
      </x:c>
      <x:c r="D37" s="6" t="n">
        <x:v>0</x:v>
      </x:c>
      <x:c r="E37" s="6" t="n">
        <x:v>0</x:v>
      </x:c>
      <x:c r="F37" s="6" t="n">
        <x:v>0</x:v>
      </x:c>
      <x:c r="G37" s="6" t="n">
        <x:v>0</x:v>
      </x:c>
      <x:c r="H37" s="6" t="n">
        <x:v>0</x:v>
      </x:c>
      <x:c r="I37" s="6" t="n">
        <x:f>SUM(B37:H37)</x:f>
        <x:v>1652.1258149999999</x:v>
      </x:c>
      <x:c r="J37" s="6" t="n">
        <x:v>0</x:v>
      </x:c>
      <x:c r="K37" s="6" t="n">
        <x:v>0</x:v>
      </x:c>
      <x:c r="L37" s="6" t="n">
        <x:v>0</x:v>
      </x:c>
      <x:c r="M37" s="6" t="n">
        <x:v>0</x:v>
      </x:c>
      <x:c r="N37" s="6" t="n">
        <x:f>I37-SUM(J37:M37)</x:f>
        <x:v>1652.1258149999999</x:v>
      </x:c>
      <x:c r="O37" s="6" t="n">
        <x:v>0</x:v>
      </x:c>
      <x:c r="P37" s="6" t="n">
        <x:f>N37-O37</x:f>
        <x:v>1652.1258149999999</x:v>
      </x:c>
      <x:c r="Q37" s="6" t="n">
        <x:v>1652.1258149999999</x:v>
      </x:c>
      <x:c r="R37" s="6" t="n">
        <x:f>P37-Q37</x:f>
        <x:v>0</x:v>
      </x:c>
      <x:c r="S37" s="6" t="n">
        <x:v>363.65999999999997</x:v>
      </x:c>
      <x:c r="T37" s="6" t="n">
        <x:v>0</x:v>
      </x:c>
      <x:c r="U37" s="6" t="n">
        <x:v>-7.105427357601002e-14</x:v>
      </x:c>
      <x:c r="V37" s="6" t="n">
        <x:v>1652.125814999999</x:v>
      </x:c>
      <x:c r="W37" s="6" t="n">
        <x:f>P37-V37</x:f>
        <x:v>9.094947017729282e-13</x:v>
      </x:c>
    </x:row>
    <x:row r="38">
      <x:c r="A38" t="str">
        <x:v>Apr 2029</x:v>
      </x:c>
      <x:c r="B38" s="6" t="n">
        <x:v>1652.1258149999999</x:v>
      </x:c>
      <x:c r="C38" s="6" t="n">
        <x:v>0</x:v>
      </x:c>
      <x:c r="D38" s="6" t="n">
        <x:v>0</x:v>
      </x:c>
      <x:c r="E38" s="6" t="n">
        <x:v>0</x:v>
      </x:c>
      <x:c r="F38" s="6" t="n">
        <x:v>0</x:v>
      </x:c>
      <x:c r="G38" s="6" t="n">
        <x:v>0</x:v>
      </x:c>
      <x:c r="H38" s="6" t="n">
        <x:v>0</x:v>
      </x:c>
      <x:c r="I38" s="6" t="n">
        <x:f>SUM(B38:H38)</x:f>
        <x:v>1652.1258149999999</x:v>
      </x:c>
      <x:c r="J38" s="6" t="n">
        <x:v>0</x:v>
      </x:c>
      <x:c r="K38" s="6" t="n">
        <x:v>0</x:v>
      </x:c>
      <x:c r="L38" s="6" t="n">
        <x:v>0</x:v>
      </x:c>
      <x:c r="M38" s="6" t="n">
        <x:v>0</x:v>
      </x:c>
      <x:c r="N38" s="6" t="n">
        <x:f>I38-SUM(J38:M38)</x:f>
        <x:v>1652.1258149999999</x:v>
      </x:c>
      <x:c r="O38" s="6" t="n">
        <x:v>0</x:v>
      </x:c>
      <x:c r="P38" s="6" t="n">
        <x:f>N38-O38</x:f>
        <x:v>1652.1258149999999</x:v>
      </x:c>
      <x:c r="Q38" s="6" t="n">
        <x:v>1652.1258149999999</x:v>
      </x:c>
      <x:c r="R38" s="6" t="n">
        <x:f>P38-Q38</x:f>
        <x:v>0</x:v>
      </x:c>
      <x:c r="S38" s="6" t="n">
        <x:v>363.65999999999997</x:v>
      </x:c>
      <x:c r="T38" s="6" t="n">
        <x:v>0</x:v>
      </x:c>
      <x:c r="U38" s="6" t="n">
        <x:v>-7.105427357601002e-14</x:v>
      </x:c>
      <x:c r="V38" s="6" t="n">
        <x:v>1652.125814999999</x:v>
      </x:c>
      <x:c r="W38" s="6" t="n">
        <x:f>P38-V38</x:f>
        <x:v>9.094947017729282e-13</x:v>
      </x:c>
    </x:row>
    <x:row r="39">
      <x:c r="A39" t="str">
        <x:v>May 2029</x:v>
      </x:c>
      <x:c r="B39" s="6" t="n">
        <x:v>1652.1258149999999</x:v>
      </x:c>
      <x:c r="C39" s="6" t="n">
        <x:v>0</x:v>
      </x:c>
      <x:c r="D39" s="6" t="n">
        <x:v>0</x:v>
      </x:c>
      <x:c r="E39" s="6" t="n">
        <x:v>0</x:v>
      </x:c>
      <x:c r="F39" s="6" t="n">
        <x:v>0</x:v>
      </x:c>
      <x:c r="G39" s="6" t="n">
        <x:v>0</x:v>
      </x:c>
      <x:c r="H39" s="6" t="n">
        <x:v>0</x:v>
      </x:c>
      <x:c r="I39" s="6" t="n">
        <x:f>SUM(B39:H39)</x:f>
        <x:v>1652.1258149999999</x:v>
      </x:c>
      <x:c r="J39" s="6" t="n">
        <x:v>0</x:v>
      </x:c>
      <x:c r="K39" s="6" t="n">
        <x:v>0</x:v>
      </x:c>
      <x:c r="L39" s="6" t="n">
        <x:v>0</x:v>
      </x:c>
      <x:c r="M39" s="6" t="n">
        <x:v>0</x:v>
      </x:c>
      <x:c r="N39" s="6" t="n">
        <x:f>I39-SUM(J39:M39)</x:f>
        <x:v>1652.1258149999999</x:v>
      </x:c>
      <x:c r="O39" s="6" t="n">
        <x:v>0</x:v>
      </x:c>
      <x:c r="P39" s="6" t="n">
        <x:f>N39-O39</x:f>
        <x:v>1652.1258149999999</x:v>
      </x:c>
      <x:c r="Q39" s="6" t="n">
        <x:v>1652.1258149999999</x:v>
      </x:c>
      <x:c r="R39" s="6" t="n">
        <x:f>P39-Q39</x:f>
        <x:v>0</x:v>
      </x:c>
      <x:c r="S39" s="6" t="n">
        <x:v>363.65999999999997</x:v>
      </x:c>
      <x:c r="T39" s="6" t="n">
        <x:v>0</x:v>
      </x:c>
      <x:c r="U39" s="6" t="n">
        <x:v>-7.105427357601002e-14</x:v>
      </x:c>
      <x:c r="V39" s="6" t="n">
        <x:v>1652.125814999999</x:v>
      </x:c>
      <x:c r="W39" s="6" t="n">
        <x:f>P39-V39</x:f>
        <x:v>9.094947017729282e-13</x:v>
      </x:c>
    </x:row>
    <x:row r="40">
      <x:c r="A40" t="str">
        <x:v>Jun 2029</x:v>
      </x:c>
      <x:c r="B40" s="6" t="n">
        <x:v>1652.1258149999999</x:v>
      </x:c>
      <x:c r="C40" s="6" t="n">
        <x:v>0</x:v>
      </x:c>
      <x:c r="D40" s="6" t="n">
        <x:v>0</x:v>
      </x:c>
      <x:c r="E40" s="6" t="n">
        <x:v>0</x:v>
      </x:c>
      <x:c r="F40" s="6" t="n">
        <x:v>0</x:v>
      </x:c>
      <x:c r="G40" s="6" t="n">
        <x:v>0</x:v>
      </x:c>
      <x:c r="H40" s="6" t="n">
        <x:v>0</x:v>
      </x:c>
      <x:c r="I40" s="6" t="n">
        <x:f>SUM(B40:H40)</x:f>
        <x:v>1652.1258149999999</x:v>
      </x:c>
      <x:c r="J40" s="6" t="n">
        <x:v>0</x:v>
      </x:c>
      <x:c r="K40" s="6" t="n">
        <x:v>0</x:v>
      </x:c>
      <x:c r="L40" s="6" t="n">
        <x:v>0</x:v>
      </x:c>
      <x:c r="M40" s="6" t="n">
        <x:v>0</x:v>
      </x:c>
      <x:c r="N40" s="6" t="n">
        <x:f>I40-SUM(J40:M40)</x:f>
        <x:v>1652.1258149999999</x:v>
      </x:c>
      <x:c r="O40" s="6" t="n">
        <x:v>0</x:v>
      </x:c>
      <x:c r="P40" s="6" t="n">
        <x:f>N40-O40</x:f>
        <x:v>1652.1258149999999</x:v>
      </x:c>
      <x:c r="Q40" s="6" t="n">
        <x:v>1652.1258149999999</x:v>
      </x:c>
      <x:c r="R40" s="6" t="n">
        <x:f>P40-Q40</x:f>
        <x:v>0</x:v>
      </x:c>
      <x:c r="S40" s="6" t="n">
        <x:v>363.65999999999997</x:v>
      </x:c>
      <x:c r="T40" s="6" t="n">
        <x:v>0</x:v>
      </x:c>
      <x:c r="U40" s="6" t="n">
        <x:v>-7.105427357601002e-14</x:v>
      </x:c>
      <x:c r="V40" s="6" t="n">
        <x:v>1652.125814999999</x:v>
      </x:c>
      <x:c r="W40" s="6" t="n">
        <x:f>P40-V40</x:f>
        <x:v>9.094947017729282e-13</x:v>
      </x:c>
    </x:row>
    <x:row r="41">
      <x:c r="A41" t="str">
        <x:v>Jul 2029</x:v>
      </x:c>
      <x:c r="B41" s="6" t="n">
        <x:v>1652.1258149999999</x:v>
      </x:c>
      <x:c r="C41" s="6" t="n">
        <x:v>0</x:v>
      </x:c>
      <x:c r="D41" s="6" t="n">
        <x:v>0</x:v>
      </x:c>
      <x:c r="E41" s="6" t="n">
        <x:v>0</x:v>
      </x:c>
      <x:c r="F41" s="6" t="n">
        <x:v>0</x:v>
      </x:c>
      <x:c r="G41" s="6" t="n">
        <x:v>0</x:v>
      </x:c>
      <x:c r="H41" s="6" t="n">
        <x:v>0</x:v>
      </x:c>
      <x:c r="I41" s="6" t="n">
        <x:f>SUM(B41:H41)</x:f>
        <x:v>1652.1258149999999</x:v>
      </x:c>
      <x:c r="J41" s="6" t="n">
        <x:v>0</x:v>
      </x:c>
      <x:c r="K41" s="6" t="n">
        <x:v>0</x:v>
      </x:c>
      <x:c r="L41" s="6" t="n">
        <x:v>0</x:v>
      </x:c>
      <x:c r="M41" s="6" t="n">
        <x:v>0</x:v>
      </x:c>
      <x:c r="N41" s="6" t="n">
        <x:f>I41-SUM(J41:M41)</x:f>
        <x:v>1652.1258149999999</x:v>
      </x:c>
      <x:c r="O41" s="6" t="n">
        <x:v>0</x:v>
      </x:c>
      <x:c r="P41" s="6" t="n">
        <x:f>N41-O41</x:f>
        <x:v>1652.1258149999999</x:v>
      </x:c>
      <x:c r="Q41" s="6" t="n">
        <x:v>1652.1258149999999</x:v>
      </x:c>
      <x:c r="R41" s="6" t="n">
        <x:f>P41-Q41</x:f>
        <x:v>0</x:v>
      </x:c>
      <x:c r="S41" s="6" t="n">
        <x:v>363.65999999999997</x:v>
      </x:c>
      <x:c r="T41" s="6" t="n">
        <x:v>0</x:v>
      </x:c>
      <x:c r="U41" s="6" t="n">
        <x:v>-7.105427357601002e-14</x:v>
      </x:c>
      <x:c r="V41" s="6" t="n">
        <x:v>1652.125814999999</x:v>
      </x:c>
      <x:c r="W41" s="6" t="n">
        <x:f>P41-V41</x:f>
        <x:v>9.094947017729282e-13</x:v>
      </x:c>
    </x:row>
    <x:row r="42">
      <x:c r="A42" t="str">
        <x:v>Aug 2029</x:v>
      </x:c>
      <x:c r="B42" s="6" t="n">
        <x:v>1652.1258149999999</x:v>
      </x:c>
      <x:c r="C42" s="6" t="n">
        <x:v>0</x:v>
      </x:c>
      <x:c r="D42" s="6" t="n">
        <x:v>0</x:v>
      </x:c>
      <x:c r="E42" s="6" t="n">
        <x:v>0</x:v>
      </x:c>
      <x:c r="F42" s="6" t="n">
        <x:v>0</x:v>
      </x:c>
      <x:c r="G42" s="6" t="n">
        <x:v>0</x:v>
      </x:c>
      <x:c r="H42" s="6" t="n">
        <x:v>0</x:v>
      </x:c>
      <x:c r="I42" s="6" t="n">
        <x:f>SUM(B42:H42)</x:f>
        <x:v>1652.1258149999999</x:v>
      </x:c>
      <x:c r="J42" s="6" t="n">
        <x:v>0</x:v>
      </x:c>
      <x:c r="K42" s="6" t="n">
        <x:v>0</x:v>
      </x:c>
      <x:c r="L42" s="6" t="n">
        <x:v>0</x:v>
      </x:c>
      <x:c r="M42" s="6" t="n">
        <x:v>0</x:v>
      </x:c>
      <x:c r="N42" s="6" t="n">
        <x:f>I42-SUM(J42:M42)</x:f>
        <x:v>1652.1258149999999</x:v>
      </x:c>
      <x:c r="O42" s="6" t="n">
        <x:v>0</x:v>
      </x:c>
      <x:c r="P42" s="6" t="n">
        <x:f>N42-O42</x:f>
        <x:v>1652.1258149999999</x:v>
      </x:c>
      <x:c r="Q42" s="6" t="n">
        <x:v>1652.1258149999999</x:v>
      </x:c>
      <x:c r="R42" s="6" t="n">
        <x:f>P42-Q42</x:f>
        <x:v>0</x:v>
      </x:c>
      <x:c r="S42" s="6" t="n">
        <x:v>363.65999999999997</x:v>
      </x:c>
      <x:c r="T42" s="6" t="n">
        <x:v>0</x:v>
      </x:c>
      <x:c r="U42" s="6" t="n">
        <x:v>-7.105427357601002e-14</x:v>
      </x:c>
      <x:c r="V42" s="6" t="n">
        <x:v>1652.125814999999</x:v>
      </x:c>
      <x:c r="W42" s="6" t="n">
        <x:f>P42-V42</x:f>
        <x:v>9.094947017729282e-13</x:v>
      </x:c>
    </x:row>
    <x:row r="43">
      <x:c r="A43" t="str">
        <x:v>Sep 2029</x:v>
      </x:c>
      <x:c r="B43" s="6" t="n">
        <x:v>1652.1258149999999</x:v>
      </x:c>
      <x:c r="C43" s="6" t="n">
        <x:v>0</x:v>
      </x:c>
      <x:c r="D43" s="6" t="n">
        <x:v>0</x:v>
      </x:c>
      <x:c r="E43" s="6" t="n">
        <x:v>0</x:v>
      </x:c>
      <x:c r="F43" s="6" t="n">
        <x:v>0</x:v>
      </x:c>
      <x:c r="G43" s="6" t="n">
        <x:v>0</x:v>
      </x:c>
      <x:c r="H43" s="6" t="n">
        <x:v>0</x:v>
      </x:c>
      <x:c r="I43" s="6" t="n">
        <x:f>SUM(B43:H43)</x:f>
        <x:v>1652.1258149999999</x:v>
      </x:c>
      <x:c r="J43" s="6" t="n">
        <x:v>0</x:v>
      </x:c>
      <x:c r="K43" s="6" t="n">
        <x:v>0</x:v>
      </x:c>
      <x:c r="L43" s="6" t="n">
        <x:v>0</x:v>
      </x:c>
      <x:c r="M43" s="6" t="n">
        <x:v>0</x:v>
      </x:c>
      <x:c r="N43" s="6" t="n">
        <x:f>I43-SUM(J43:M43)</x:f>
        <x:v>1652.1258149999999</x:v>
      </x:c>
      <x:c r="O43" s="6" t="n">
        <x:v>0</x:v>
      </x:c>
      <x:c r="P43" s="6" t="n">
        <x:f>N43-O43</x:f>
        <x:v>1652.1258149999999</x:v>
      </x:c>
      <x:c r="Q43" s="6" t="n">
        <x:v>1652.1258149999999</x:v>
      </x:c>
      <x:c r="R43" s="6" t="n">
        <x:f>P43-Q43</x:f>
        <x:v>0</x:v>
      </x:c>
      <x:c r="S43" s="6" t="n">
        <x:v>443.66519999999997</x:v>
      </x:c>
      <x:c r="T43" s="6" t="n">
        <x:v>80.00519999999999</x:v>
      </x:c>
      <x:c r="U43" s="6" t="n">
        <x:v>-7.105427357601002e-14</x:v>
      </x:c>
      <x:c r="V43" s="6" t="n">
        <x:v>1652.125814999999</x:v>
      </x:c>
      <x:c r="W43" s="6" t="n">
        <x:f>P43-V43</x:f>
        <x:v>9.094947017729282e-13</x:v>
      </x:c>
    </x:row>
    <x:row r="44">
      <x:c r="A44" t="str">
        <x:v>Oct 2029</x:v>
      </x:c>
      <x:c r="B44" s="6" t="n">
        <x:v>1652.1258149999999</x:v>
      </x:c>
      <x:c r="C44" s="6" t="n">
        <x:v>0</x:v>
      </x:c>
      <x:c r="D44" s="6" t="n">
        <x:v>0</x:v>
      </x:c>
      <x:c r="E44" s="6" t="n">
        <x:v>0</x:v>
      </x:c>
      <x:c r="F44" s="6" t="n">
        <x:v>0</x:v>
      </x:c>
      <x:c r="G44" s="6" t="n">
        <x:v>0</x:v>
      </x:c>
      <x:c r="H44" s="6" t="n">
        <x:v>0</x:v>
      </x:c>
      <x:c r="I44" s="6" t="n">
        <x:f>SUM(B44:H44)</x:f>
        <x:v>1652.1258149999999</x:v>
      </x:c>
      <x:c r="J44" s="6" t="n">
        <x:v>268.5344883749997</x:v>
      </x:c>
      <x:c r="K44" s="6" t="n">
        <x:v>0</x:v>
      </x:c>
      <x:c r="L44" s="6" t="n">
        <x:v>0</x:v>
      </x:c>
      <x:c r="M44" s="6" t="n">
        <x:v>0</x:v>
      </x:c>
      <x:c r="N44" s="6" t="n">
        <x:f>I44-SUM(J44:M44)</x:f>
        <x:v>1383.5913266250002</x:v>
      </x:c>
      <x:c r="O44" s="6" t="n">
        <x:v>0</x:v>
      </x:c>
      <x:c r="P44" s="6" t="n">
        <x:f>N44-O44</x:f>
        <x:v>1383.5913266250002</x:v>
      </x:c>
      <x:c r="Q44" s="6" t="n">
        <x:v>1383.5913266250002</x:v>
      </x:c>
      <x:c r="R44" s="6" t="n">
        <x:f>P44-Q44</x:f>
        <x:v>0</x:v>
      </x:c>
      <x:c r="S44" s="6" t="n">
        <x:v>443.66519999999997</x:v>
      </x:c>
      <x:c r="T44" s="6" t="n">
        <x:v>0</x:v>
      </x:c>
      <x:c r="U44" s="6" t="n">
        <x:v>-7.105427357601002e-14</x:v>
      </x:c>
      <x:c r="V44" s="6" t="n">
        <x:v>1383.5913266249993</x:v>
      </x:c>
      <x:c r="W44" s="6" t="n">
        <x:f>P44-V44</x:f>
        <x:v>9.094947017729282e-13</x:v>
      </x:c>
    </x:row>
  </x:sheetData>
  <x:pageMargins left="0.7" right="0.7" top="0.75" bottom="0.75" header="0.3" footer="0.3"/>
</x:worksheet>
</file>